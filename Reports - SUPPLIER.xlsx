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DEVELOPMENT IMPORT AND EXPORT\"/>
    </mc:Choice>
  </mc:AlternateContent>
  <bookViews>
    <workbookView xWindow="0" yWindow="80" windowWidth="19140" windowHeight="7340" activeTab="1"/>
  </bookViews>
  <sheets>
    <sheet name="SUPPLIERS" sheetId="1" r:id="rId1"/>
    <sheet name="Supplier Data Entry form  (1)" sheetId="14" r:id="rId2"/>
    <sheet name="Supplier Master Sheet" sheetId="7" r:id="rId3"/>
    <sheet name="PURCHASE ORDER FORMAT" sheetId="13" r:id="rId4"/>
    <sheet name="Supplier Data Entry form (2)" sheetId="6" r:id="rId5"/>
    <sheet name="SUPPLIER PURCHASE HISTORY" sheetId="8" r:id="rId6"/>
    <sheet name="SUPPLIER PAYMENT HISTORY " sheetId="9" r:id="rId7"/>
    <sheet name="SUPPLIER OPERATIONAL HISTORY" sheetId="10" r:id="rId8"/>
  </sheets>
  <calcPr calcId="152511"/>
</workbook>
</file>

<file path=xl/calcChain.xml><?xml version="1.0" encoding="utf-8"?>
<calcChain xmlns="http://schemas.openxmlformats.org/spreadsheetml/2006/main">
  <c r="G126" i="1" l="1"/>
  <c r="G127" i="1" s="1"/>
  <c r="G125" i="1"/>
  <c r="G124" i="1"/>
  <c r="G120" i="1" l="1"/>
  <c r="G117" i="1"/>
  <c r="G118" i="1" s="1"/>
  <c r="G116" i="1"/>
  <c r="G90" i="1"/>
  <c r="G91" i="1"/>
  <c r="G92" i="1" s="1"/>
  <c r="G93" i="1" s="1"/>
  <c r="G95" i="1" s="1"/>
  <c r="G97" i="1" s="1"/>
  <c r="G98" i="1" s="1"/>
  <c r="G99" i="1" s="1"/>
  <c r="G100" i="1" s="1"/>
  <c r="G102" i="1" s="1"/>
  <c r="G104" i="1" s="1"/>
  <c r="G106" i="1" s="1"/>
  <c r="G108" i="1" s="1"/>
  <c r="G112" i="1" s="1"/>
  <c r="G113" i="1" s="1"/>
  <c r="G114" i="1" s="1"/>
  <c r="G115" i="1" s="1"/>
  <c r="G86" i="1"/>
  <c r="G84" i="1"/>
  <c r="G82" i="1"/>
  <c r="G80" i="1"/>
  <c r="G76" i="1"/>
  <c r="G78" i="1" s="1"/>
  <c r="G75" i="1"/>
  <c r="G73" i="1"/>
  <c r="G70" i="1"/>
  <c r="G71" i="1" s="1"/>
  <c r="G69" i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27" i="1"/>
  <c r="G32" i="13" l="1"/>
  <c r="G31" i="13"/>
  <c r="G30" i="13"/>
  <c r="G29" i="13"/>
  <c r="G28" i="13"/>
  <c r="G27" i="13"/>
  <c r="G26" i="13"/>
  <c r="G25" i="13"/>
  <c r="G24" i="13"/>
  <c r="G2" i="13"/>
  <c r="G33" i="13" l="1"/>
  <c r="A25" i="8" l="1"/>
  <c r="A26" i="8" s="1"/>
  <c r="A27" i="8" s="1"/>
  <c r="A28" i="8" s="1"/>
  <c r="A24" i="8"/>
  <c r="A26" i="9"/>
  <c r="A27" i="9" s="1"/>
  <c r="A28" i="9" s="1"/>
  <c r="A29" i="9" s="1"/>
  <c r="A30" i="9" s="1"/>
  <c r="A37" i="9" s="1"/>
  <c r="A38" i="9" s="1"/>
  <c r="A39" i="9" s="1"/>
  <c r="A25" i="9"/>
  <c r="M4" i="10" l="1"/>
  <c r="G148" i="1" l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A148" i="1"/>
  <c r="A153" i="1" s="1"/>
  <c r="A181" i="1" s="1"/>
  <c r="A186" i="1" s="1"/>
  <c r="A188" i="1" s="1"/>
  <c r="A192" i="1" s="1"/>
  <c r="A198" i="1" s="1"/>
  <c r="G171" i="1" l="1"/>
  <c r="G181" i="1" l="1"/>
  <c r="G182" i="1" s="1"/>
  <c r="G183" i="1" s="1"/>
  <c r="G184" i="1" s="1"/>
  <c r="G185" i="1" s="1"/>
  <c r="G186" i="1" s="1"/>
  <c r="G189" i="1" l="1"/>
  <c r="G190" i="1" s="1"/>
  <c r="G191" i="1" s="1"/>
  <c r="G193" i="1" l="1"/>
  <c r="G194" i="1" s="1"/>
  <c r="G195" i="1" s="1"/>
  <c r="G196" i="1" s="1"/>
  <c r="G198" i="1" s="1"/>
  <c r="G199" i="1" l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  <comment ref="M2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GREEN = Full Paid
BLUE= Partial Paid
RED= Un Paid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  <comment ref="I2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GREEN = Full Paid
BLUE= Partial Paid
RED= Un Paid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3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</commentList>
</comments>
</file>

<file path=xl/sharedStrings.xml><?xml version="1.0" encoding="utf-8"?>
<sst xmlns="http://schemas.openxmlformats.org/spreadsheetml/2006/main" count="948" uniqueCount="408">
  <si>
    <t>a-</t>
  </si>
  <si>
    <t>b-</t>
  </si>
  <si>
    <t>Fabrics</t>
  </si>
  <si>
    <t>Accessories</t>
  </si>
  <si>
    <t>c-</t>
  </si>
  <si>
    <t>d-</t>
  </si>
  <si>
    <t>Machinery and spares</t>
  </si>
  <si>
    <t>Chemicals</t>
  </si>
  <si>
    <t xml:space="preserve">Payment detail </t>
  </si>
  <si>
    <t>Payments made to suppliers (all suppliers)</t>
  </si>
  <si>
    <t>Advance</t>
  </si>
  <si>
    <t>L/C at Sight</t>
  </si>
  <si>
    <t>L/C at usuance</t>
  </si>
  <si>
    <t>DP</t>
  </si>
  <si>
    <t>L/C at 30 days</t>
  </si>
  <si>
    <t>L/C at 60 days</t>
  </si>
  <si>
    <t>L/C at 90 days</t>
  </si>
  <si>
    <t>e-</t>
  </si>
  <si>
    <t>f-</t>
  </si>
  <si>
    <t>L/C at 180 days</t>
  </si>
  <si>
    <t>DA at 30 days</t>
  </si>
  <si>
    <t>DA at 60 days</t>
  </si>
  <si>
    <t>DA at 90 days</t>
  </si>
  <si>
    <t>DA at 180 days</t>
  </si>
  <si>
    <t xml:space="preserve">Open Account </t>
  </si>
  <si>
    <t>payment made after ---days</t>
  </si>
  <si>
    <t>Days will be calculated from GD date to payment date</t>
  </si>
  <si>
    <t>Lead Time</t>
  </si>
  <si>
    <t>Suppliers lead time (all suppliers)</t>
  </si>
  <si>
    <t>each fabric's lead time will be linked with item code</t>
  </si>
  <si>
    <t>each accessory's lead time will be linked with item code</t>
  </si>
  <si>
    <t>each machinery and spare's lead time will be linked with item code</t>
  </si>
  <si>
    <t>each chemical's lead time will be linked with item code</t>
  </si>
  <si>
    <t>Supplier's lead time maturity</t>
  </si>
  <si>
    <t xml:space="preserve">supplier's lead time will be fed in database, maturity will </t>
  </si>
  <si>
    <t>be calculated based on ready date (see ITS column Z)</t>
  </si>
  <si>
    <t>PP sample approval</t>
  </si>
  <si>
    <t>1st pp sample approval</t>
  </si>
  <si>
    <t>2nd pp sample approval</t>
  </si>
  <si>
    <t xml:space="preserve">days past after order placement </t>
  </si>
  <si>
    <t>Time gap between 1st pp and 2nd pp sample</t>
  </si>
  <si>
    <t>Delay against lead Time</t>
  </si>
  <si>
    <t>Within 1 to 10 days</t>
  </si>
  <si>
    <t>Within 21 to 30 days</t>
  </si>
  <si>
    <t>Within 11 to 20 days</t>
  </si>
  <si>
    <t xml:space="preserve">Within 31 to above </t>
  </si>
  <si>
    <t>QC Report (FID)</t>
  </si>
  <si>
    <t>Rejection Loss value vs PO (all rejections along with suppliers name)</t>
  </si>
  <si>
    <t>No of short shipment vs PO with value (all short shipments along with suppliers name)</t>
  </si>
  <si>
    <t>No of rejections with value vs PO (all shipments along with suppliers name, mark with percentage)</t>
  </si>
  <si>
    <t>Claims</t>
  </si>
  <si>
    <t>Claims launched value with time option (all suppliers)</t>
  </si>
  <si>
    <t>No of claims with time option (all suppliers)</t>
  </si>
  <si>
    <t>No of claims rejected with time option (all suppliers)</t>
  </si>
  <si>
    <t>Expenses incurred on claims received with time option (all suppliers)</t>
  </si>
  <si>
    <t>No of claims rejected with value with time option (all suppliers)</t>
  </si>
  <si>
    <t>No of claims received with time option (all suppliers)</t>
  </si>
  <si>
    <t>No of claims accepted with time option (all suppliers)</t>
  </si>
  <si>
    <t xml:space="preserve">Development </t>
  </si>
  <si>
    <t>No of development did with time option (all suppliers)</t>
  </si>
  <si>
    <t>No of development did by merchandisers with time option (all merchandisers)</t>
  </si>
  <si>
    <t>Name</t>
  </si>
  <si>
    <t xml:space="preserve">Name </t>
  </si>
  <si>
    <t xml:space="preserve">Individual merchandiser history can be generated </t>
  </si>
  <si>
    <t xml:space="preserve">Individual supplier history can be generated </t>
  </si>
  <si>
    <t>Expenses incurred on development did, with time option (all suppliers)</t>
  </si>
  <si>
    <t>Logistics expenses incurred on development did, with time option (all suppliers)</t>
  </si>
  <si>
    <t xml:space="preserve">By air </t>
  </si>
  <si>
    <t xml:space="preserve">By courier </t>
  </si>
  <si>
    <t xml:space="preserve">Individual mode of shipment history can be generated </t>
  </si>
  <si>
    <t xml:space="preserve">Supplier Dash Board </t>
  </si>
  <si>
    <t xml:space="preserve">Order placed by time period, quarterly, half yearly, and fiscal year </t>
  </si>
  <si>
    <t>Sr.No</t>
  </si>
  <si>
    <t>Category</t>
  </si>
  <si>
    <t>Month</t>
  </si>
  <si>
    <t>Supplier Name</t>
  </si>
  <si>
    <t>Country of Origin</t>
  </si>
  <si>
    <t>Product HS Code</t>
  </si>
  <si>
    <t xml:space="preserve">Supplier Email </t>
  </si>
  <si>
    <t>Contact No</t>
  </si>
  <si>
    <t>Web site Name</t>
  </si>
  <si>
    <t>Oekotex Certification</t>
  </si>
  <si>
    <t xml:space="preserve">ISO Certificaion </t>
  </si>
  <si>
    <t>Reach Certification</t>
  </si>
  <si>
    <t xml:space="preserve">Note: </t>
  </si>
  <si>
    <t>This will be data entry form for individual supplier, all data provided here will be transferred in Master sheet (Supplier detail)</t>
  </si>
  <si>
    <t>Product Category</t>
  </si>
  <si>
    <t xml:space="preserve">Product Description </t>
  </si>
  <si>
    <t>Supplier  Data entry Form</t>
  </si>
  <si>
    <t>1-</t>
  </si>
  <si>
    <t>2-</t>
  </si>
  <si>
    <t>No of suppliers (all suppliers Master Sheet)</t>
  </si>
  <si>
    <t>Product Item Code</t>
  </si>
  <si>
    <t>Product category wise supplier can be searched.</t>
  </si>
  <si>
    <t>Supplier or product can be searched here.</t>
  </si>
  <si>
    <t>Data Entry made in individual data entry form will display here.</t>
  </si>
  <si>
    <t>3-</t>
  </si>
  <si>
    <t>Supplier Category</t>
  </si>
  <si>
    <t xml:space="preserve">Manufacturer </t>
  </si>
  <si>
    <t xml:space="preserve">Trader </t>
  </si>
  <si>
    <t>Customer Source</t>
  </si>
  <si>
    <t>Search Option based</t>
  </si>
  <si>
    <t xml:space="preserve">Product description will auto reflect while entering in Import Tracking sheet </t>
  </si>
  <si>
    <t>Search can be done origin wise</t>
  </si>
  <si>
    <t>Search can be done HS CODE wise</t>
  </si>
  <si>
    <t>HS Code</t>
  </si>
  <si>
    <t>Purchase Order</t>
  </si>
  <si>
    <t>PO Date</t>
  </si>
  <si>
    <t>Description of Goods</t>
  </si>
  <si>
    <t>Quantity</t>
  </si>
  <si>
    <t>Unit Price</t>
  </si>
  <si>
    <t>AMOUNT</t>
  </si>
  <si>
    <t>Value in Pak Rs.</t>
  </si>
  <si>
    <t>R.O.E</t>
  </si>
  <si>
    <t xml:space="preserve">When searched product item code wise, all prices will be displayed </t>
  </si>
  <si>
    <t>Supplier all product range will be displayed when searched by supplier wise</t>
  </si>
  <si>
    <t xml:space="preserve">Having all data been transferred in this sheet, filter based required information can be searched out. </t>
  </si>
  <si>
    <t>Payment / Bank Reference</t>
  </si>
  <si>
    <t>4-</t>
  </si>
  <si>
    <t xml:space="preserve">Payments made to supplier, report can be generated, with From To Option </t>
  </si>
  <si>
    <t xml:space="preserve">Supplier Master Sheet </t>
  </si>
  <si>
    <t>5-</t>
  </si>
  <si>
    <t xml:space="preserve">No of Orders placed (in counting) to each supplier can be searched </t>
  </si>
  <si>
    <t>count in meters</t>
  </si>
  <si>
    <t>count in USD</t>
  </si>
  <si>
    <t>count in PKR</t>
  </si>
  <si>
    <t xml:space="preserve">No of Orders placed (in product category wise) to each supplier can be searched </t>
  </si>
  <si>
    <t>Supplier data entered in ITS (each SR # based) will be transferred in supplier's portfolio (this current sheet)</t>
  </si>
  <si>
    <t>6-</t>
  </si>
  <si>
    <t>7-</t>
  </si>
  <si>
    <t>sub filter in each filter will be admissible</t>
  </si>
  <si>
    <t>8-</t>
  </si>
  <si>
    <t>Filtered by HS Code, all next relevant data will be displayed</t>
  </si>
  <si>
    <t>9-</t>
  </si>
  <si>
    <t xml:space="preserve">Dash Board, </t>
  </si>
  <si>
    <t>Payments made will show in graphs, percentage wise against total amount paid in finalcial year, or from to option</t>
  </si>
  <si>
    <t>with graph, month wise</t>
  </si>
  <si>
    <t>Supplier data entered in supplier purchase history will be transferred in this current sheet</t>
  </si>
  <si>
    <t>payment made in USD, Euro, Yen, Yuan, GBP will be displayed in graph with percentage (against each currency)</t>
  </si>
  <si>
    <t>payment made in USD, Euro, Yen, Yuan, GBP will be displayed in graph in month wisec (against each currency)</t>
  </si>
  <si>
    <t xml:space="preserve">Supplier Payment History </t>
  </si>
  <si>
    <t>DA</t>
  </si>
  <si>
    <t>payment made against TT, LC (DEFFERED), DP, DA (DEFFERED) in percentage</t>
  </si>
  <si>
    <t>LC</t>
  </si>
  <si>
    <t>TT</t>
  </si>
  <si>
    <t xml:space="preserve">Payments made will show in graphs, month wise, </t>
  </si>
  <si>
    <t>each supplier data of payments will be on separate page</t>
  </si>
  <si>
    <t xml:space="preserve">supplier </t>
  </si>
  <si>
    <t xml:space="preserve">if after editing by filter, can separate page opening comand be given , with all information </t>
  </si>
  <si>
    <t>supplier p.h</t>
  </si>
  <si>
    <t>payments by origin</t>
  </si>
  <si>
    <t xml:space="preserve">Payment comparison of current year vs last year, months wise of each year, </t>
  </si>
  <si>
    <t xml:space="preserve">Manual Data entry </t>
  </si>
  <si>
    <t xml:space="preserve">supplier Data Entry </t>
  </si>
  <si>
    <t xml:space="preserve">individual supplier dash board , + no of orders (counting),, value (counting) </t>
  </si>
  <si>
    <t>Filtered by HS Code, all next relevant data will be displayed (needseparate graph)</t>
  </si>
  <si>
    <t xml:space="preserve">No of Orders placed (in counting) to all suppliers + each supplier with value can be searched </t>
  </si>
  <si>
    <t xml:space="preserve">No of Orders placed (in product category wise) to all supplier + each supplier can be searched </t>
  </si>
  <si>
    <t xml:space="preserve">Payments made will show in graphs, month wise, with total figure </t>
  </si>
  <si>
    <t>Payments made will show in graphs (in colour portions), percentage wise against total amount paid in finalcial year, or from to option</t>
  </si>
  <si>
    <t>Purchases by origin with value/percentage</t>
  </si>
  <si>
    <t xml:space="preserve">Payments made to supplier, currency wise report can be generated, with From To Option </t>
  </si>
  <si>
    <t xml:space="preserve">at the end of this sheet, different graphs will be shown at the bottom, 1-suppliers total payment, each supplier payment, payment in currencies shown, payment origin wise, </t>
  </si>
  <si>
    <t>ITS / AB</t>
  </si>
  <si>
    <t>Supplier Delivery Date</t>
  </si>
  <si>
    <t>Actual Shipment Ready Date</t>
  </si>
  <si>
    <t>ITS / AH</t>
  </si>
  <si>
    <t>ITS / AD</t>
  </si>
  <si>
    <t>Delay against supplier Lead Time</t>
  </si>
  <si>
    <t>Delay above supplier lead time from 1 to 10 days</t>
  </si>
  <si>
    <t>Delay above supplier lead time from 10 to 20 days</t>
  </si>
  <si>
    <t>ITS / AI</t>
  </si>
  <si>
    <t>ITS / AJ</t>
  </si>
  <si>
    <t>ITS / AK</t>
  </si>
  <si>
    <t>Delay above supplier lead time from 20 to 30 days</t>
  </si>
  <si>
    <t>ITS / AL</t>
  </si>
  <si>
    <t>ITS/A</t>
  </si>
  <si>
    <t>ITS/K</t>
  </si>
  <si>
    <t>ITS/L</t>
  </si>
  <si>
    <t>ITS/N</t>
  </si>
  <si>
    <t>ITS/O</t>
  </si>
  <si>
    <t>ITS/Q</t>
  </si>
  <si>
    <t>Supplier Lead time/Days</t>
  </si>
  <si>
    <t>30-10-23</t>
  </si>
  <si>
    <t xml:space="preserve">No of orders placed , show month wise, followed by dash Board </t>
  </si>
  <si>
    <t>Dash Board</t>
  </si>
  <si>
    <t>No of orders not matured within lead time, show in dash borard</t>
  </si>
  <si>
    <t>No of orders matured within  given lead time, show in dash borard</t>
  </si>
  <si>
    <t>No of orders matured from 1 to 10 days delay , show in dash board</t>
  </si>
  <si>
    <t>No of orders matured from 21 to 30 days delay , show in dash board</t>
  </si>
  <si>
    <t>No of orders matured from 11 to 20 days delay , show in dash board</t>
  </si>
  <si>
    <t>ITS / Ap</t>
  </si>
  <si>
    <t xml:space="preserve">Lifting by Air due to delay </t>
  </si>
  <si>
    <t>No of orders moved by air against lead time delay, show in dash board</t>
  </si>
  <si>
    <t>1st PP sample approval date</t>
  </si>
  <si>
    <t>2nd PP sample approval date</t>
  </si>
  <si>
    <t>ITS / AF</t>
  </si>
  <si>
    <t>ITS / AG</t>
  </si>
  <si>
    <t>No of 1st PP sample approved, show in dash borard</t>
  </si>
  <si>
    <t>No of 2nd PP sample approved, show in dash borard</t>
  </si>
  <si>
    <t>10-</t>
  </si>
  <si>
    <t>No of order placed in a year, from to option (search option)</t>
  </si>
  <si>
    <t xml:space="preserve">SUPPLIER LEAD TIME MATURITY HISTORY </t>
  </si>
  <si>
    <t>No of 1st PP sample approved (show in percentage), show in dash borard</t>
  </si>
  <si>
    <t>No of 2nd PP sample approved, (show in percentage) show in dash borard</t>
  </si>
  <si>
    <t>No of orders matured from 1 to 10 days delay , (show in percentage) show in dash board</t>
  </si>
  <si>
    <t>No of orders matured from 11 to 20 days delay , (show in percentage) show in dash board</t>
  </si>
  <si>
    <t>No of orders matured from 21 to 30 days delay , (show in percentage) show in dash board</t>
  </si>
  <si>
    <t>No of orders moved by air against lead time delay, (show in percentage) show in dash board</t>
  </si>
  <si>
    <t>ITS/B</t>
  </si>
  <si>
    <t>ITS/C</t>
  </si>
  <si>
    <t>ITS/E</t>
  </si>
  <si>
    <t>ITS/H</t>
  </si>
  <si>
    <t>ITS/P</t>
  </si>
  <si>
    <t>ITS/R</t>
  </si>
  <si>
    <t>ITS/S</t>
  </si>
  <si>
    <t>ITS/T</t>
  </si>
  <si>
    <t>ITS/U</t>
  </si>
  <si>
    <t>ITS/V</t>
  </si>
  <si>
    <t>supplier purchase history</t>
  </si>
  <si>
    <t>count</t>
  </si>
  <si>
    <t>ITS/AA</t>
  </si>
  <si>
    <t>Mode of Shipment</t>
  </si>
  <si>
    <t>Price Term</t>
  </si>
  <si>
    <t>[Company Name]</t>
  </si>
  <si>
    <t>PURCHASE ORDER</t>
  </si>
  <si>
    <t>[Street Address]</t>
  </si>
  <si>
    <t>DATE</t>
  </si>
  <si>
    <t>[City, ST  ZIP]</t>
  </si>
  <si>
    <t>PO #</t>
  </si>
  <si>
    <t>[123456]</t>
  </si>
  <si>
    <t>Phone: (000) 000-0000</t>
  </si>
  <si>
    <t>Fax: (000) 000-0000</t>
  </si>
  <si>
    <t xml:space="preserve">Website: </t>
  </si>
  <si>
    <t>[Name]</t>
  </si>
  <si>
    <t>[Contact or Department]</t>
  </si>
  <si>
    <t>[Phone]</t>
  </si>
  <si>
    <t>SHIP VIA</t>
  </si>
  <si>
    <t>ITEM #</t>
  </si>
  <si>
    <t>DESCRIPTION</t>
  </si>
  <si>
    <t>UNIT PRICE</t>
  </si>
  <si>
    <t>TOTAL</t>
  </si>
  <si>
    <t>[23423423]</t>
  </si>
  <si>
    <t>Product XYZ</t>
  </si>
  <si>
    <t>[45645645]</t>
  </si>
  <si>
    <t>Product ABC</t>
  </si>
  <si>
    <t/>
  </si>
  <si>
    <t>[42]</t>
  </si>
  <si>
    <t>Comments or Special Instructions</t>
  </si>
  <si>
    <t>[Name, Phone #, E-mail]</t>
  </si>
  <si>
    <t>Origin of Goods</t>
  </si>
  <si>
    <t>Incoterms</t>
  </si>
  <si>
    <t>Shipper</t>
  </si>
  <si>
    <t>Beneficiary</t>
  </si>
  <si>
    <t>Consignee</t>
  </si>
  <si>
    <t>Qty/kg</t>
  </si>
  <si>
    <t xml:space="preserve">China </t>
  </si>
  <si>
    <t>FOB</t>
  </si>
  <si>
    <t>Currency</t>
  </si>
  <si>
    <t>USD</t>
  </si>
  <si>
    <t xml:space="preserve">United States </t>
  </si>
  <si>
    <t xml:space="preserve">If you have any questions about this purchase order, please contact at below detail </t>
  </si>
  <si>
    <t>single entry sheet for data entry in which suppliers all detail will be submitted</t>
  </si>
  <si>
    <t>for product Category</t>
  </si>
  <si>
    <t>Dyes and chemicals</t>
  </si>
  <si>
    <t>Website Name</t>
  </si>
  <si>
    <t>Yes</t>
  </si>
  <si>
    <t>No</t>
  </si>
  <si>
    <t>Under process</t>
  </si>
  <si>
    <t>Use Tab for selection</t>
  </si>
  <si>
    <t>ISO Certification</t>
  </si>
  <si>
    <t>Note</t>
  </si>
  <si>
    <t xml:space="preserve">All Entries will be done manually </t>
  </si>
  <si>
    <t>This form will be used for individual supplier, all data provided here will be transferred in Master sheet (Supplier detail)</t>
  </si>
  <si>
    <t>Supplier Address</t>
  </si>
  <si>
    <t>Country</t>
  </si>
  <si>
    <t xml:space="preserve">selection tab option </t>
  </si>
  <si>
    <t xml:space="preserve">Port of loading </t>
  </si>
  <si>
    <t>Select tab</t>
  </si>
  <si>
    <t xml:space="preserve">Country </t>
  </si>
  <si>
    <t>Supplier Email</t>
  </si>
  <si>
    <t>Contact No.</t>
  </si>
  <si>
    <t xml:space="preserve">Port of Loadinig </t>
  </si>
  <si>
    <t>Auto serial generation</t>
  </si>
  <si>
    <t>reflect in master sheet</t>
  </si>
  <si>
    <t>will reflect in master</t>
  </si>
  <si>
    <t xml:space="preserve">sheet </t>
  </si>
  <si>
    <t>Order placement  /  PURCHASE ORDER</t>
  </si>
  <si>
    <t>can find same fabric suppliers against specific item code with each supplier's value</t>
  </si>
  <si>
    <t>Unit Value</t>
  </si>
  <si>
    <t xml:space="preserve">report will be generated from master sheet, each tab will be selected for report generation </t>
  </si>
  <si>
    <t>report as how much fabric (all fabrics) bought in specific time, (from to option)</t>
  </si>
  <si>
    <t>Total Value</t>
  </si>
  <si>
    <t>Total Quantity</t>
  </si>
  <si>
    <t xml:space="preserve">report of fabric country wise </t>
  </si>
  <si>
    <t xml:space="preserve">item code + description </t>
  </si>
  <si>
    <t xml:space="preserve">select all fabrics + description + qty ordered + country selection + total value </t>
  </si>
  <si>
    <t xml:space="preserve">select all fabrics + description + qty ordered + total value </t>
  </si>
  <si>
    <t xml:space="preserve">select item code + description + qty ordered + each supplier's unit value + country </t>
  </si>
  <si>
    <t xml:space="preserve">Dash board (round graph) report will desplay orders placed to suppliers, all fabrics + all countries </t>
  </si>
  <si>
    <t>Dash board (round graph) report will desplay as number of suppliers, + orders placed to suppliers + fabrics (to be calculated from item code</t>
  </si>
  <si>
    <t xml:space="preserve">report as how many suppliers are enlisted against each and specific fabric / dash board report in round graph showing </t>
  </si>
  <si>
    <t xml:space="preserve">Master sheet will show summary showing all suppliers </t>
  </si>
  <si>
    <t>report will be generated from master sheet</t>
  </si>
  <si>
    <t xml:space="preserve">select supplier name + item codes + description + qty ordered + each supplier's unit value + country + total value </t>
  </si>
  <si>
    <t xml:space="preserve">no of fabric orders placed to suppliers (all orders with value) with from to option / total number to be shown at the bottom </t>
  </si>
  <si>
    <t xml:space="preserve">no of fabric orders placed to each suppliers with value / with from to option / total number to be shown at the bottom </t>
  </si>
  <si>
    <t xml:space="preserve">all report must show in precise report as below </t>
  </si>
  <si>
    <t>Total number of suppliers of a same fabric/item code</t>
  </si>
  <si>
    <t>Total Number of fabrics with quantity and value</t>
  </si>
  <si>
    <t>Total Number of suppliers with quantity with value of order placed</t>
  </si>
  <si>
    <t xml:space="preserve">Unit value increase comparison item code wise against each fabric </t>
  </si>
  <si>
    <t>can find same accessories suppliers against specific item code with each supplier's value</t>
  </si>
  <si>
    <t xml:space="preserve">select all accessories + description + qty ordered + total value </t>
  </si>
  <si>
    <t xml:space="preserve">select all accessories  + description + qty ordered + country selection + total value </t>
  </si>
  <si>
    <t>Total Number of accessories with quantity and value</t>
  </si>
  <si>
    <t>Total number of suppliers of a same accessories/item code</t>
  </si>
  <si>
    <t>Unit value increase comparison item code wise against each accessories</t>
  </si>
  <si>
    <t>can find same machinery and spares suppliers against specific item code with each supplier's value</t>
  </si>
  <si>
    <t xml:space="preserve">select all machinery and spares  + description + qty ordered + total value </t>
  </si>
  <si>
    <t xml:space="preserve">select all machinery and spares  + description + qty ordered + country selection + total value </t>
  </si>
  <si>
    <t xml:space="preserve">report as how many suppliers are enlisted against each and specific accessories / dash board report in round graph showing </t>
  </si>
  <si>
    <t xml:space="preserve">no of accessories orders placed to suppliers (all orders with value) with from to option / total number to be shown at the bottom </t>
  </si>
  <si>
    <t xml:space="preserve">no ofaccessories orders placed to each suppliers with value / with from to option / total number to be shown at the bottom </t>
  </si>
  <si>
    <t>report as how much accessories  (all accessories) bought in specific time, (from to option)</t>
  </si>
  <si>
    <t xml:space="preserve">report of accessories country wise </t>
  </si>
  <si>
    <t>Dash board (round graph) report will desplay as number of suppliers, + orders placed to suppliers + accessories (to be calculated from item code</t>
  </si>
  <si>
    <t xml:space="preserve">Dash board (round graph) report will desplay orders placed to suppliers, all accessories + all countries </t>
  </si>
  <si>
    <t xml:space="preserve">report as how many suppliers are enlisted against each and specific machinery and spares  / dash board report in round graph showing </t>
  </si>
  <si>
    <t xml:space="preserve">no of machinery and spares orders placed to suppliers (all orders with value) with from to option / total number to be shown at the bottom </t>
  </si>
  <si>
    <t xml:space="preserve">no of machinery and spares orders placed to each suppliers with value / with from to option / total number to be shown at the bottom </t>
  </si>
  <si>
    <t>report as how much fabric (all machinery and spares) bought in specific time, (from to option)</t>
  </si>
  <si>
    <t xml:space="preserve">report of machinery and spares  country wise </t>
  </si>
  <si>
    <t xml:space="preserve">Dash board (round graph) report will desplay orders placed to suppliers, all machinery and spares + all countries </t>
  </si>
  <si>
    <t>can find same chemicals suppliers against specific item code with each supplier's value</t>
  </si>
  <si>
    <t>Total Number of chemicals with quantity and value</t>
  </si>
  <si>
    <t>Total number of suppliers of a same chemicals/item code</t>
  </si>
  <si>
    <t xml:space="preserve">no of chemicals orders placed to suppliers (all orders with value) with from to option / total number to be shown at the bottom </t>
  </si>
  <si>
    <t xml:space="preserve">no ofchemicals orders placed to each suppliers with value / with from to option / total number to be shown at the bottom </t>
  </si>
  <si>
    <t xml:space="preserve">report of chemicals country wise </t>
  </si>
  <si>
    <t xml:space="preserve">report as how many suppliers are enlisted against each and specific chemicals / dash board report in round graph showing </t>
  </si>
  <si>
    <t>report as how much chemicals (all chemicals ) bought in specific time, (from to option)</t>
  </si>
  <si>
    <t>Dash board (round graph) report will desplay as number of suppliers, + orders placed to suppliers + chemicals (to be calculated from item code</t>
  </si>
  <si>
    <t xml:space="preserve">Dash board (round graph) report will desplay orders placed to suppliers, all chemicals + all countries </t>
  </si>
  <si>
    <t xml:space="preserve">all report must be shown in precise report as below </t>
  </si>
  <si>
    <t>Data entry from supplier data entry form</t>
  </si>
  <si>
    <t>suppliers with oekotex certifications</t>
  </si>
  <si>
    <t>suppliers with Reach certifications</t>
  </si>
  <si>
    <t>suppliers with ISO certifications</t>
  </si>
  <si>
    <t xml:space="preserve">FOR REPORTS SEE SUPPLIERS FOLDER </t>
  </si>
  <si>
    <t>Fabric supplier status as manufacturer</t>
  </si>
  <si>
    <t xml:space="preserve">Fabric supplier status as trader </t>
  </si>
  <si>
    <t>Fabric supplier status as customer sourced</t>
  </si>
  <si>
    <t>accessories supplier status as manufacturer</t>
  </si>
  <si>
    <t xml:space="preserve">accessories supplier status as trader </t>
  </si>
  <si>
    <t>accessories supplier status as customer sourced</t>
  </si>
  <si>
    <t>Machinery and spares supplier status as manufacturer</t>
  </si>
  <si>
    <t xml:space="preserve">Machinery and spares supplier status as trader </t>
  </si>
  <si>
    <t>Machinery and spares supplier status as customer sourced</t>
  </si>
  <si>
    <t>Dyes and chemicals supplier status as manufacturer</t>
  </si>
  <si>
    <t xml:space="preserve">Dyes and chemicals supplier status as trader </t>
  </si>
  <si>
    <t>Dyes and chemicals supplier status as customer sourced</t>
  </si>
  <si>
    <t>Report</t>
  </si>
  <si>
    <t>Data source : Master sheet</t>
  </si>
  <si>
    <t>round graph showing fabric, accessories, machinery and spares and chemicals</t>
  </si>
  <si>
    <t>divided in colors and category percentage</t>
  </si>
  <si>
    <t>HS Codes list complete showing all categories item codes</t>
  </si>
  <si>
    <t>By Air/Sea /express</t>
  </si>
  <si>
    <t>Port of loading, show total port of loading</t>
  </si>
  <si>
    <t xml:space="preserve">shipments effected against each port of loading </t>
  </si>
  <si>
    <t>Total numbers of Purchase orders under process</t>
  </si>
  <si>
    <t>Total numbers of Purchase orders cancelled</t>
  </si>
  <si>
    <t>Purchase Order No</t>
  </si>
  <si>
    <t>Date</t>
  </si>
  <si>
    <t>Remarks</t>
  </si>
  <si>
    <t xml:space="preserve">when goods received, entered in ITS, P.O completion will reflect here </t>
  </si>
  <si>
    <t>Total numbers of Purchase orders with short shipped quantity</t>
  </si>
  <si>
    <t>Total numbers of Purchase orders with over shipped quantity</t>
  </si>
  <si>
    <t>Tolerance</t>
  </si>
  <si>
    <t>5%, +/-</t>
  </si>
  <si>
    <t>5%, 7%, 10%</t>
  </si>
  <si>
    <t>for percentage selection</t>
  </si>
  <si>
    <t>selection tab option for supplier selection category/master sheet</t>
  </si>
  <si>
    <t xml:space="preserve">get data from supplier master sheet </t>
  </si>
  <si>
    <t>get data from ITS, p.o qty - qty shipped</t>
  </si>
  <si>
    <t xml:space="preserve">Total numbers of Purchase orders issued /  From to option </t>
  </si>
  <si>
    <t xml:space="preserve">Total numbers of Purchase orders completed /  From to option </t>
  </si>
  <si>
    <t>once entered here will also reflect in master sheet and ITS</t>
  </si>
  <si>
    <t>Shipper Name</t>
  </si>
  <si>
    <t>data entered here will also reflect in ITS</t>
  </si>
  <si>
    <t>Search can be done origin wise from master Sheet will reflect in master</t>
  </si>
  <si>
    <t>Search can be done HS CODE wise from master sheet  / will reflect in master sheet</t>
  </si>
  <si>
    <t>company's internal item code /master sheet will reflect in master sheet</t>
  </si>
  <si>
    <t>PPC Demand No.</t>
  </si>
  <si>
    <t>PPC Demand Date</t>
  </si>
  <si>
    <t>Shipper Address</t>
  </si>
  <si>
    <t xml:space="preserve">shipper Email </t>
  </si>
  <si>
    <t>PPC Demand No</t>
  </si>
  <si>
    <t>Department category</t>
  </si>
  <si>
    <t>Division</t>
  </si>
  <si>
    <t>DIVISION REPORTS</t>
  </si>
  <si>
    <t>Total orders placed by all divisions</t>
  </si>
  <si>
    <t>Total orders placed in each month</t>
  </si>
  <si>
    <t>Total orders placed by each division</t>
  </si>
  <si>
    <t>Total orders placed value</t>
  </si>
  <si>
    <t xml:space="preserve">CHECK SAMPLE </t>
  </si>
  <si>
    <t>IN PRODUCT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</si>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</sst>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7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Times New Roman"/>
      <family val="1"/>
    </font>
    <font>
      <sz val="16"/>
      <name val="Trebuchet MS"/>
      <family val="2"/>
    </font>
    <font>
      <sz val="10"/>
      <name val="Calibri"/>
      <family val="2"/>
      <scheme val="minor"/>
    </font>
    <font>
      <sz val="10"/>
      <color rgb="FF101010"/>
      <name val="Calibri"/>
      <family val="2"/>
      <scheme val="minor"/>
    </font>
    <font>
      <b/>
      <sz val="10"/>
      <color indexed="9"/>
      <name val="Cambria"/>
      <family val="2"/>
      <scheme val="major"/>
    </font>
    <font>
      <sz val="10"/>
      <color rgb="FF101010"/>
      <name val="Trebuchet MS"/>
      <family val="2"/>
    </font>
    <font>
      <sz val="2"/>
      <color indexed="9"/>
      <name val="Trebuchet MS"/>
      <family val="2"/>
    </font>
    <font>
      <b/>
      <sz val="10"/>
      <name val="Cambria"/>
      <family val="2"/>
      <scheme val="major"/>
    </font>
    <font>
      <b/>
      <sz val="10"/>
      <color rgb="FF101010"/>
      <name val="Calibri"/>
      <family val="2"/>
      <scheme val="minor"/>
    </font>
    <font>
      <b/>
      <sz val="10"/>
      <name val="Calibri"/>
      <family val="2"/>
      <scheme val="minor"/>
    </font>
    <font>
      <b/>
      <sz val="28"/>
      <name val="Cambria"/>
      <family val="2"/>
      <scheme val="major"/>
    </font>
    <font>
      <sz val="11"/>
      <name val="Cambria"/>
      <family val="2"/>
      <scheme val="maj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5" borderId="0" xfId="0" applyFill="1"/>
    <xf numFmtId="0" fontId="4" fillId="2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2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/>
    <xf numFmtId="0" fontId="2" fillId="3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44" fontId="9" fillId="2" borderId="1" xfId="1" applyFont="1" applyFill="1" applyBorder="1" applyAlignment="1">
      <alignment horizontal="center" vertical="center" wrapText="1"/>
    </xf>
    <xf numFmtId="17" fontId="0" fillId="0" borderId="0" xfId="0" applyNumberFormat="1"/>
    <xf numFmtId="0" fontId="0" fillId="2" borderId="0" xfId="0" applyFill="1"/>
    <xf numFmtId="0" fontId="10" fillId="0" borderId="0" xfId="0" applyFont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0" borderId="0" xfId="0" applyBorder="1"/>
    <xf numFmtId="0" fontId="0" fillId="7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right"/>
    </xf>
    <xf numFmtId="0" fontId="4" fillId="2" borderId="2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44" fontId="9" fillId="4" borderId="1" xfId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14" fontId="9" fillId="4" borderId="1" xfId="1" applyNumberFormat="1" applyFont="1" applyFill="1" applyBorder="1" applyAlignment="1">
      <alignment horizontal="center" vertical="center" wrapText="1"/>
    </xf>
    <xf numFmtId="0" fontId="0" fillId="0" borderId="1" xfId="0" applyNumberFormat="1" applyBorder="1"/>
    <xf numFmtId="0" fontId="0" fillId="2" borderId="0" xfId="0" applyFont="1" applyFill="1" applyAlignment="1">
      <alignment horizontal="right"/>
    </xf>
    <xf numFmtId="0" fontId="11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7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17" fontId="0" fillId="0" borderId="1" xfId="0" applyNumberFormat="1" applyBorder="1"/>
    <xf numFmtId="0" fontId="0" fillId="0" borderId="8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right" vertical="center" indent="1"/>
    </xf>
    <xf numFmtId="14" fontId="14" fillId="0" borderId="1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5" borderId="0" xfId="0" applyFont="1" applyFill="1" applyAlignment="1">
      <alignment horizontal="left" vertical="center" indent="1"/>
    </xf>
    <xf numFmtId="0" fontId="16" fillId="5" borderId="0" xfId="0" applyFont="1" applyFill="1" applyAlignment="1">
      <alignment vertical="center"/>
    </xf>
    <xf numFmtId="0" fontId="16" fillId="5" borderId="12" xfId="0" applyFont="1" applyFill="1" applyBorder="1" applyAlignment="1">
      <alignment horizontal="center" vertical="center" shrinkToFit="1"/>
    </xf>
    <xf numFmtId="0" fontId="16" fillId="5" borderId="13" xfId="0" applyFont="1" applyFill="1" applyBorder="1" applyAlignment="1">
      <alignment horizontal="center" vertical="center" shrinkToFit="1"/>
    </xf>
    <xf numFmtId="0" fontId="16" fillId="5" borderId="13" xfId="0" applyFont="1" applyFill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10" fontId="16" fillId="5" borderId="12" xfId="0" applyNumberFormat="1" applyFont="1" applyFill="1" applyBorder="1" applyAlignment="1">
      <alignment horizontal="center" vertical="center" shrinkToFit="1"/>
    </xf>
    <xf numFmtId="10" fontId="16" fillId="5" borderId="13" xfId="0" applyNumberFormat="1" applyFont="1" applyFill="1" applyBorder="1" applyAlignment="1">
      <alignment horizontal="center" vertical="center" shrinkToFit="1"/>
    </xf>
    <xf numFmtId="0" fontId="16" fillId="5" borderId="14" xfId="0" applyFont="1" applyFill="1" applyBorder="1" applyAlignment="1">
      <alignment horizontal="center" vertical="center" shrinkToFit="1"/>
    </xf>
    <xf numFmtId="0" fontId="15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43" fontId="15" fillId="0" borderId="17" xfId="0" applyNumberFormat="1" applyFont="1" applyBorder="1" applyAlignment="1">
      <alignment horizontal="right" vertical="center"/>
    </xf>
    <xf numFmtId="43" fontId="15" fillId="8" borderId="17" xfId="0" applyNumberFormat="1" applyFont="1" applyFill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167" fontId="15" fillId="0" borderId="8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7" fillId="0" borderId="0" xfId="0" applyFont="1" applyBorder="1"/>
    <xf numFmtId="0" fontId="15" fillId="0" borderId="0" xfId="0" applyFont="1" applyBorder="1" applyAlignment="1">
      <alignment vertical="center"/>
    </xf>
    <xf numFmtId="0" fontId="19" fillId="9" borderId="22" xfId="0" applyFont="1" applyFill="1" applyBorder="1" applyAlignment="1">
      <alignment horizontal="left" vertical="center"/>
    </xf>
    <xf numFmtId="0" fontId="19" fillId="9" borderId="21" xfId="0" applyFont="1" applyFill="1" applyBorder="1" applyAlignment="1">
      <alignment horizontal="left" vertical="center"/>
    </xf>
    <xf numFmtId="0" fontId="19" fillId="9" borderId="9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7" fillId="0" borderId="5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3" fontId="21" fillId="8" borderId="1" xfId="0" applyNumberFormat="1" applyFont="1" applyFill="1" applyBorder="1" applyAlignment="1">
      <alignment horizontal="center" vertical="center"/>
    </xf>
    <xf numFmtId="43" fontId="14" fillId="0" borderId="21" xfId="0" applyNumberFormat="1" applyFont="1" applyBorder="1" applyAlignment="1">
      <alignment vertical="center"/>
    </xf>
    <xf numFmtId="43" fontId="14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44" fontId="21" fillId="4" borderId="0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0" fillId="10" borderId="0" xfId="0" applyFill="1"/>
    <xf numFmtId="0" fontId="16" fillId="5" borderId="26" xfId="0" applyFont="1" applyFill="1" applyBorder="1" applyAlignment="1">
      <alignment horizontal="center" vertical="center" shrinkToFit="1"/>
    </xf>
    <xf numFmtId="0" fontId="16" fillId="5" borderId="27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vertic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 wrapText="1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4" fillId="6" borderId="0" xfId="0" applyFont="1" applyFill="1"/>
    <xf numFmtId="0" fontId="24" fillId="6" borderId="0" xfId="0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3"/>
  <sheetViews>
    <sheetView topLeftCell="A117" workbookViewId="0">
      <selection activeCell="D127" sqref="D127"/>
    </sheetView>
  </sheetViews>
  <sheetFormatPr defaultRowHeight="14.5" x14ac:dyDescent="0.35"/>
  <cols>
    <col min="1" max="1" width="8.7265625" style="9"/>
    <col min="2" max="2" width="8.7265625" style="122"/>
    <col min="3" max="3" width="21.54296875" customWidth="1"/>
    <col min="4" max="4" width="10.54296875" customWidth="1"/>
    <col min="6" max="6" width="28" customWidth="1"/>
    <col min="7" max="7" width="8.7265625" style="1"/>
    <col min="12" max="12" width="11.81640625" bestFit="1" customWidth="1"/>
  </cols>
  <sheetData>
    <row r="1" spans="1:15" ht="26" x14ac:dyDescent="0.35">
      <c r="A1" s="62" t="s">
        <v>287</v>
      </c>
      <c r="B1" s="62"/>
      <c r="C1" s="62"/>
      <c r="D1" s="62"/>
      <c r="E1" s="62"/>
      <c r="F1" s="62"/>
    </row>
    <row r="2" spans="1:15" ht="26" x14ac:dyDescent="0.35">
      <c r="A2" s="21"/>
      <c r="B2" s="150" t="s">
        <v>88</v>
      </c>
      <c r="C2" s="29"/>
      <c r="D2" s="29"/>
      <c r="E2" s="21"/>
      <c r="F2" s="21"/>
      <c r="H2" t="s">
        <v>262</v>
      </c>
    </row>
    <row r="3" spans="1:15" x14ac:dyDescent="0.35">
      <c r="A3" s="8">
        <v>1</v>
      </c>
      <c r="B3" s="151" t="s">
        <v>91</v>
      </c>
      <c r="C3" s="3"/>
      <c r="D3" s="3"/>
      <c r="E3" s="7" t="s">
        <v>363</v>
      </c>
      <c r="F3" s="7"/>
      <c r="G3" s="1">
        <v>1</v>
      </c>
    </row>
    <row r="4" spans="1:15" x14ac:dyDescent="0.35">
      <c r="B4" s="1" t="s">
        <v>0</v>
      </c>
      <c r="C4" s="34" t="s">
        <v>2</v>
      </c>
    </row>
    <row r="5" spans="1:15" x14ac:dyDescent="0.35">
      <c r="B5" s="1"/>
      <c r="C5" s="4" t="s">
        <v>288</v>
      </c>
      <c r="G5" s="1">
        <v>2</v>
      </c>
    </row>
    <row r="6" spans="1:15" x14ac:dyDescent="0.35">
      <c r="B6" s="134" t="s">
        <v>362</v>
      </c>
      <c r="C6" s="4" t="s">
        <v>298</v>
      </c>
      <c r="G6" s="1">
        <v>3</v>
      </c>
      <c r="H6" s="136" t="s">
        <v>301</v>
      </c>
      <c r="I6" s="136"/>
      <c r="J6" s="136"/>
      <c r="K6" s="136"/>
      <c r="L6" s="136"/>
      <c r="M6" s="136"/>
      <c r="N6" s="136"/>
      <c r="O6" s="136"/>
    </row>
    <row r="7" spans="1:15" ht="26.5" customHeight="1" x14ac:dyDescent="0.35">
      <c r="B7" s="1"/>
      <c r="C7" s="132" t="s">
        <v>290</v>
      </c>
      <c r="D7" s="132"/>
      <c r="E7" s="132"/>
      <c r="F7" s="132"/>
      <c r="G7" s="133"/>
      <c r="H7" s="136"/>
      <c r="I7" s="136"/>
      <c r="J7" s="136"/>
      <c r="K7" s="136"/>
      <c r="L7" s="136"/>
      <c r="M7" s="136"/>
      <c r="N7" s="136"/>
      <c r="O7" s="136"/>
    </row>
    <row r="8" spans="1:15" ht="14.5" customHeight="1" x14ac:dyDescent="0.35">
      <c r="B8" s="134" t="s">
        <v>362</v>
      </c>
      <c r="C8" s="4" t="s">
        <v>302</v>
      </c>
      <c r="G8" s="1">
        <v>4</v>
      </c>
      <c r="H8" s="136" t="s">
        <v>305</v>
      </c>
      <c r="I8" s="136"/>
      <c r="J8" s="136"/>
      <c r="K8" s="136"/>
      <c r="L8" s="136"/>
      <c r="M8" s="136"/>
      <c r="N8" s="136"/>
      <c r="O8" s="136"/>
    </row>
    <row r="9" spans="1:15" x14ac:dyDescent="0.35">
      <c r="B9" s="1"/>
      <c r="C9" s="6" t="s">
        <v>303</v>
      </c>
      <c r="D9" s="6"/>
      <c r="E9" s="6"/>
      <c r="F9" s="6"/>
      <c r="G9" s="133"/>
      <c r="H9" s="136"/>
      <c r="I9" s="136"/>
      <c r="J9" s="136"/>
      <c r="K9" s="136"/>
      <c r="L9" s="136"/>
      <c r="M9" s="136"/>
      <c r="N9" s="136"/>
      <c r="O9" s="136"/>
    </row>
    <row r="10" spans="1:15" ht="29" customHeight="1" x14ac:dyDescent="0.35">
      <c r="B10" s="134" t="s">
        <v>362</v>
      </c>
      <c r="C10" s="130" t="s">
        <v>304</v>
      </c>
      <c r="D10" s="130"/>
      <c r="E10" s="130"/>
      <c r="F10" s="130"/>
      <c r="G10" s="133">
        <v>5</v>
      </c>
      <c r="H10" s="135" t="s">
        <v>306</v>
      </c>
      <c r="I10" s="135"/>
      <c r="J10" s="135"/>
      <c r="K10" s="135"/>
      <c r="L10" s="135"/>
      <c r="M10" s="135"/>
      <c r="N10" s="135"/>
      <c r="O10" s="135"/>
    </row>
    <row r="11" spans="1:15" ht="29" customHeight="1" x14ac:dyDescent="0.35">
      <c r="B11" s="1"/>
      <c r="C11" s="132" t="s">
        <v>290</v>
      </c>
      <c r="D11" s="132"/>
      <c r="E11" s="132"/>
      <c r="F11" s="132"/>
      <c r="G11" s="133"/>
    </row>
    <row r="12" spans="1:15" x14ac:dyDescent="0.35">
      <c r="B12" s="134" t="s">
        <v>362</v>
      </c>
      <c r="C12" s="4" t="s">
        <v>297</v>
      </c>
      <c r="G12" s="1">
        <v>6</v>
      </c>
      <c r="H12" t="s">
        <v>291</v>
      </c>
    </row>
    <row r="13" spans="1:15" x14ac:dyDescent="0.35">
      <c r="B13" s="1"/>
      <c r="C13" s="6" t="s">
        <v>290</v>
      </c>
      <c r="D13" s="6"/>
      <c r="E13" s="6"/>
      <c r="F13" s="6"/>
      <c r="G13" s="134"/>
    </row>
    <row r="14" spans="1:15" x14ac:dyDescent="0.35">
      <c r="B14" s="134" t="s">
        <v>362</v>
      </c>
      <c r="C14" s="4" t="s">
        <v>296</v>
      </c>
      <c r="G14" s="1">
        <v>7</v>
      </c>
      <c r="H14" t="s">
        <v>294</v>
      </c>
    </row>
    <row r="15" spans="1:15" x14ac:dyDescent="0.35">
      <c r="B15" s="1"/>
      <c r="C15" s="6" t="s">
        <v>290</v>
      </c>
      <c r="D15" s="6"/>
      <c r="E15" s="6"/>
      <c r="F15" s="6"/>
      <c r="G15" s="134"/>
    </row>
    <row r="16" spans="1:15" x14ac:dyDescent="0.35">
      <c r="B16" s="134" t="s">
        <v>362</v>
      </c>
      <c r="C16" s="4" t="s">
        <v>295</v>
      </c>
      <c r="G16" s="1">
        <v>8</v>
      </c>
      <c r="H16" s="136" t="s">
        <v>300</v>
      </c>
      <c r="I16" s="136"/>
      <c r="J16" s="136"/>
      <c r="K16" s="136"/>
      <c r="L16" s="136"/>
      <c r="M16" s="136"/>
      <c r="N16" s="136"/>
      <c r="O16" s="136"/>
    </row>
    <row r="17" spans="2:15" x14ac:dyDescent="0.35">
      <c r="B17" s="1"/>
      <c r="C17" s="6" t="s">
        <v>290</v>
      </c>
      <c r="D17" s="6"/>
      <c r="E17" s="6"/>
      <c r="F17" s="6"/>
      <c r="G17" s="134"/>
      <c r="H17" s="136"/>
      <c r="I17" s="136"/>
      <c r="J17" s="136"/>
      <c r="K17" s="136"/>
      <c r="L17" s="136"/>
      <c r="M17" s="136"/>
      <c r="N17" s="136"/>
      <c r="O17" s="136"/>
    </row>
    <row r="18" spans="2:15" x14ac:dyDescent="0.35">
      <c r="B18" s="1"/>
      <c r="C18" s="4"/>
      <c r="D18" s="4"/>
      <c r="E18" s="4"/>
      <c r="F18" s="4"/>
      <c r="G18" s="133"/>
      <c r="H18" s="15"/>
      <c r="I18" s="15"/>
      <c r="J18" s="15"/>
      <c r="K18" s="15"/>
      <c r="L18" s="15"/>
      <c r="M18" s="15"/>
      <c r="N18" s="15"/>
      <c r="O18" s="15"/>
    </row>
    <row r="19" spans="2:15" x14ac:dyDescent="0.35">
      <c r="B19" s="134" t="s">
        <v>362</v>
      </c>
      <c r="C19" s="148" t="s">
        <v>344</v>
      </c>
      <c r="D19" s="148"/>
      <c r="E19" s="148"/>
      <c r="F19" s="148"/>
      <c r="G19" s="149"/>
      <c r="H19" s="128" t="s">
        <v>299</v>
      </c>
      <c r="I19" s="128"/>
      <c r="J19" s="128"/>
      <c r="K19" s="128"/>
      <c r="L19" s="128"/>
      <c r="M19" s="128"/>
      <c r="N19" s="128"/>
      <c r="O19" s="128"/>
    </row>
    <row r="20" spans="2:15" x14ac:dyDescent="0.35">
      <c r="B20" s="134" t="s">
        <v>362</v>
      </c>
      <c r="C20" s="4" t="s">
        <v>309</v>
      </c>
      <c r="D20" s="4"/>
      <c r="E20" s="4"/>
      <c r="F20" s="4"/>
      <c r="G20" s="133">
        <v>9</v>
      </c>
      <c r="H20" s="128"/>
      <c r="I20" s="128"/>
      <c r="J20" s="128"/>
      <c r="K20" s="128"/>
      <c r="L20" s="128"/>
      <c r="M20" s="128"/>
      <c r="N20" s="128"/>
      <c r="O20" s="128"/>
    </row>
    <row r="21" spans="2:15" x14ac:dyDescent="0.35">
      <c r="B21" s="134" t="s">
        <v>362</v>
      </c>
      <c r="C21" s="4" t="s">
        <v>310</v>
      </c>
      <c r="D21" s="4"/>
      <c r="E21" s="4"/>
      <c r="F21" s="4"/>
      <c r="G21" s="133">
        <v>10</v>
      </c>
      <c r="H21" s="15"/>
      <c r="I21" s="15"/>
      <c r="J21" s="15"/>
      <c r="K21" s="15"/>
      <c r="L21" s="15"/>
      <c r="M21" s="15"/>
      <c r="N21" s="15"/>
      <c r="O21" s="15"/>
    </row>
    <row r="22" spans="2:15" x14ac:dyDescent="0.35">
      <c r="B22" s="134" t="s">
        <v>362</v>
      </c>
      <c r="C22" s="4" t="s">
        <v>308</v>
      </c>
      <c r="D22" s="4"/>
      <c r="E22" s="4"/>
      <c r="F22" s="4"/>
      <c r="G22" s="133">
        <v>11</v>
      </c>
      <c r="H22" s="15"/>
      <c r="I22" s="15"/>
      <c r="J22" s="15"/>
      <c r="K22" s="15"/>
      <c r="L22" s="15"/>
      <c r="M22" s="15"/>
      <c r="N22" s="15"/>
      <c r="O22" s="15"/>
    </row>
    <row r="23" spans="2:15" x14ac:dyDescent="0.35">
      <c r="B23" s="134" t="s">
        <v>362</v>
      </c>
      <c r="C23" s="4" t="s">
        <v>311</v>
      </c>
      <c r="D23" s="4"/>
      <c r="E23" s="4"/>
      <c r="F23" s="4"/>
      <c r="G23" s="133">
        <v>12</v>
      </c>
      <c r="H23" s="15"/>
      <c r="I23" s="15"/>
      <c r="J23" s="15"/>
      <c r="K23" s="15"/>
      <c r="L23" s="15"/>
      <c r="M23" s="15"/>
      <c r="N23" s="15"/>
      <c r="O23" s="15"/>
    </row>
    <row r="24" spans="2:15" x14ac:dyDescent="0.35">
      <c r="B24" s="134" t="s">
        <v>362</v>
      </c>
      <c r="C24" s="4" t="s">
        <v>346</v>
      </c>
      <c r="D24" s="4"/>
      <c r="E24" s="4"/>
      <c r="F24" s="4"/>
      <c r="G24" s="133">
        <v>13</v>
      </c>
      <c r="H24" s="15"/>
      <c r="I24" s="15"/>
      <c r="J24" s="15"/>
      <c r="K24" s="15"/>
      <c r="L24" s="15"/>
      <c r="M24" s="15"/>
      <c r="N24" s="15"/>
      <c r="O24" s="15"/>
    </row>
    <row r="25" spans="2:15" x14ac:dyDescent="0.35">
      <c r="B25" s="134" t="s">
        <v>362</v>
      </c>
      <c r="C25" s="4" t="s">
        <v>347</v>
      </c>
      <c r="D25" s="4"/>
      <c r="E25" s="4"/>
      <c r="F25" s="4"/>
      <c r="G25" s="133">
        <v>14</v>
      </c>
      <c r="H25" s="15"/>
      <c r="I25" s="15"/>
      <c r="J25" s="15"/>
      <c r="K25" s="15"/>
      <c r="L25" s="15"/>
      <c r="M25" s="15"/>
      <c r="N25" s="15"/>
      <c r="O25" s="15"/>
    </row>
    <row r="26" spans="2:15" x14ac:dyDescent="0.35">
      <c r="B26" s="134" t="s">
        <v>362</v>
      </c>
      <c r="C26" s="4" t="s">
        <v>348</v>
      </c>
      <c r="D26" s="4"/>
      <c r="E26" s="4"/>
      <c r="F26" s="4"/>
      <c r="G26" s="133">
        <v>15</v>
      </c>
      <c r="H26" s="15"/>
      <c r="I26" s="15"/>
      <c r="J26" s="15"/>
      <c r="K26" s="15"/>
      <c r="L26" s="15"/>
      <c r="M26" s="15"/>
      <c r="N26" s="15"/>
      <c r="O26" s="15"/>
    </row>
    <row r="27" spans="2:15" x14ac:dyDescent="0.35">
      <c r="B27" s="134" t="s">
        <v>362</v>
      </c>
      <c r="C27" s="4" t="s">
        <v>350</v>
      </c>
      <c r="D27" s="4"/>
      <c r="E27" s="4"/>
      <c r="F27" s="4"/>
      <c r="G27" s="133">
        <f>+G26+1</f>
        <v>16</v>
      </c>
      <c r="H27" s="15"/>
      <c r="I27" s="15"/>
      <c r="J27" s="15"/>
      <c r="K27" s="15"/>
      <c r="L27" s="15"/>
      <c r="M27" s="15"/>
      <c r="N27" s="15"/>
      <c r="O27" s="15"/>
    </row>
    <row r="28" spans="2:15" x14ac:dyDescent="0.35">
      <c r="B28" s="134" t="s">
        <v>362</v>
      </c>
      <c r="C28" s="4" t="s">
        <v>351</v>
      </c>
      <c r="D28" s="4"/>
      <c r="E28" s="4"/>
      <c r="F28" s="4"/>
      <c r="G28" s="133">
        <f t="shared" ref="G28:G38" si="0">+G27+1</f>
        <v>17</v>
      </c>
      <c r="H28" s="15"/>
      <c r="I28" s="15"/>
      <c r="J28" s="15"/>
      <c r="K28" s="15"/>
      <c r="L28" s="15"/>
      <c r="M28" s="15"/>
      <c r="N28" s="15"/>
      <c r="O28" s="15"/>
    </row>
    <row r="29" spans="2:15" x14ac:dyDescent="0.35">
      <c r="B29" s="134" t="s">
        <v>362</v>
      </c>
      <c r="C29" s="4" t="s">
        <v>352</v>
      </c>
      <c r="D29" s="4"/>
      <c r="E29" s="4"/>
      <c r="F29" s="4"/>
      <c r="G29" s="133">
        <f t="shared" si="0"/>
        <v>18</v>
      </c>
      <c r="H29" s="15"/>
      <c r="I29" s="15"/>
      <c r="J29" s="15"/>
      <c r="K29" s="15"/>
      <c r="L29" s="15"/>
      <c r="M29" s="15"/>
      <c r="N29" s="15"/>
      <c r="O29" s="15"/>
    </row>
    <row r="30" spans="2:15" x14ac:dyDescent="0.35">
      <c r="B30" s="134" t="s">
        <v>362</v>
      </c>
      <c r="C30" s="4" t="s">
        <v>353</v>
      </c>
      <c r="D30" s="4"/>
      <c r="E30" s="4"/>
      <c r="F30" s="4"/>
      <c r="G30" s="133">
        <f t="shared" si="0"/>
        <v>19</v>
      </c>
      <c r="H30" s="15"/>
      <c r="I30" s="15"/>
      <c r="J30" s="15"/>
      <c r="K30" s="15"/>
      <c r="L30" s="15"/>
      <c r="M30" s="15"/>
      <c r="N30" s="15"/>
      <c r="O30" s="15"/>
    </row>
    <row r="31" spans="2:15" x14ac:dyDescent="0.35">
      <c r="B31" s="134" t="s">
        <v>362</v>
      </c>
      <c r="C31" s="4" t="s">
        <v>354</v>
      </c>
      <c r="D31" s="4"/>
      <c r="E31" s="4"/>
      <c r="F31" s="4"/>
      <c r="G31" s="133">
        <f t="shared" si="0"/>
        <v>20</v>
      </c>
      <c r="H31" s="15"/>
      <c r="I31" s="15"/>
      <c r="J31" s="15"/>
      <c r="K31" s="15"/>
      <c r="L31" s="15"/>
      <c r="M31" s="15"/>
      <c r="N31" s="15"/>
      <c r="O31" s="15"/>
    </row>
    <row r="32" spans="2:15" x14ac:dyDescent="0.35">
      <c r="B32" s="134" t="s">
        <v>362</v>
      </c>
      <c r="C32" s="4" t="s">
        <v>355</v>
      </c>
      <c r="D32" s="4"/>
      <c r="E32" s="4"/>
      <c r="F32" s="4"/>
      <c r="G32" s="133">
        <f t="shared" si="0"/>
        <v>21</v>
      </c>
      <c r="H32" s="15"/>
      <c r="I32" s="15"/>
      <c r="J32" s="15"/>
      <c r="K32" s="15"/>
      <c r="L32" s="15"/>
      <c r="M32" s="15"/>
      <c r="N32" s="15"/>
      <c r="O32" s="15"/>
    </row>
    <row r="33" spans="2:15" x14ac:dyDescent="0.35">
      <c r="B33" s="134" t="s">
        <v>362</v>
      </c>
      <c r="C33" s="4" t="s">
        <v>356</v>
      </c>
      <c r="D33" s="4"/>
      <c r="E33" s="4"/>
      <c r="F33" s="4"/>
      <c r="G33" s="133">
        <f t="shared" si="0"/>
        <v>22</v>
      </c>
      <c r="H33" s="15"/>
      <c r="I33" s="15"/>
      <c r="J33" s="15"/>
      <c r="K33" s="15"/>
      <c r="L33" s="15"/>
      <c r="M33" s="15"/>
      <c r="N33" s="15"/>
      <c r="O33" s="15"/>
    </row>
    <row r="34" spans="2:15" x14ac:dyDescent="0.35">
      <c r="B34" s="134" t="s">
        <v>362</v>
      </c>
      <c r="C34" s="4" t="s">
        <v>357</v>
      </c>
      <c r="D34" s="4"/>
      <c r="E34" s="4"/>
      <c r="F34" s="4"/>
      <c r="G34" s="133">
        <f t="shared" si="0"/>
        <v>23</v>
      </c>
      <c r="H34" s="15"/>
      <c r="I34" s="15"/>
      <c r="J34" s="15"/>
      <c r="K34" s="15"/>
      <c r="L34" s="15"/>
      <c r="M34" s="15"/>
      <c r="N34" s="15"/>
      <c r="O34" s="15"/>
    </row>
    <row r="35" spans="2:15" x14ac:dyDescent="0.35">
      <c r="B35" s="134" t="s">
        <v>362</v>
      </c>
      <c r="C35" s="4" t="s">
        <v>358</v>
      </c>
      <c r="D35" s="4"/>
      <c r="E35" s="4"/>
      <c r="F35" s="4"/>
      <c r="G35" s="133">
        <f t="shared" si="0"/>
        <v>24</v>
      </c>
      <c r="H35" s="15"/>
      <c r="I35" s="15"/>
      <c r="J35" s="15"/>
      <c r="K35" s="15"/>
      <c r="L35" s="15"/>
      <c r="M35" s="15"/>
      <c r="N35" s="15"/>
      <c r="O35" s="15"/>
    </row>
    <row r="36" spans="2:15" x14ac:dyDescent="0.35">
      <c r="B36" s="134" t="s">
        <v>362</v>
      </c>
      <c r="C36" s="4" t="s">
        <v>359</v>
      </c>
      <c r="D36" s="4"/>
      <c r="E36" s="4"/>
      <c r="F36" s="4"/>
      <c r="G36" s="133">
        <f t="shared" si="0"/>
        <v>25</v>
      </c>
      <c r="H36" s="15"/>
      <c r="I36" s="15"/>
      <c r="J36" s="15"/>
      <c r="K36" s="15"/>
      <c r="L36" s="15"/>
      <c r="M36" s="15"/>
      <c r="N36" s="15"/>
      <c r="O36" s="15"/>
    </row>
    <row r="37" spans="2:15" x14ac:dyDescent="0.35">
      <c r="B37" s="134" t="s">
        <v>362</v>
      </c>
      <c r="C37" s="4" t="s">
        <v>360</v>
      </c>
      <c r="D37" s="4"/>
      <c r="E37" s="4"/>
      <c r="F37" s="4"/>
      <c r="G37" s="133">
        <f t="shared" si="0"/>
        <v>26</v>
      </c>
      <c r="H37" s="15"/>
      <c r="I37" s="15"/>
      <c r="J37" s="15"/>
      <c r="K37" s="15"/>
      <c r="L37" s="15"/>
      <c r="M37" s="15"/>
      <c r="N37" s="15"/>
      <c r="O37" s="15"/>
    </row>
    <row r="38" spans="2:15" x14ac:dyDescent="0.35">
      <c r="B38" s="134" t="s">
        <v>362</v>
      </c>
      <c r="C38" s="4" t="s">
        <v>361</v>
      </c>
      <c r="D38" s="4"/>
      <c r="E38" s="4"/>
      <c r="F38" s="4"/>
      <c r="G38" s="133">
        <f t="shared" si="0"/>
        <v>27</v>
      </c>
      <c r="H38" s="15"/>
      <c r="I38" s="15"/>
      <c r="J38" s="15"/>
      <c r="K38" s="15"/>
      <c r="L38" s="15"/>
      <c r="M38" s="15"/>
      <c r="N38" s="15"/>
      <c r="O38" s="15"/>
    </row>
    <row r="39" spans="2:15" x14ac:dyDescent="0.35">
      <c r="B39" s="140" t="s">
        <v>362</v>
      </c>
      <c r="C39" s="4" t="s">
        <v>364</v>
      </c>
      <c r="D39" s="4"/>
      <c r="E39" s="4"/>
      <c r="F39" s="4"/>
      <c r="G39" s="133">
        <v>28</v>
      </c>
      <c r="H39" s="15"/>
      <c r="I39" s="15"/>
      <c r="J39" s="15"/>
      <c r="K39" s="15"/>
      <c r="L39" s="15"/>
      <c r="M39" s="15"/>
      <c r="N39" s="15"/>
      <c r="O39" s="15"/>
    </row>
    <row r="40" spans="2:15" x14ac:dyDescent="0.35">
      <c r="B40" s="134"/>
      <c r="C40" s="4" t="s">
        <v>365</v>
      </c>
      <c r="D40" s="4"/>
      <c r="E40" s="4"/>
      <c r="F40" s="4"/>
      <c r="G40" s="133"/>
      <c r="H40" s="15"/>
      <c r="I40" s="15"/>
      <c r="J40" s="15"/>
      <c r="K40" s="15"/>
      <c r="L40" s="15"/>
      <c r="M40" s="15"/>
      <c r="N40" s="15"/>
      <c r="O40" s="15"/>
    </row>
    <row r="41" spans="2:15" x14ac:dyDescent="0.35">
      <c r="B41" s="134" t="s">
        <v>362</v>
      </c>
      <c r="C41" s="4" t="s">
        <v>366</v>
      </c>
      <c r="D41" s="4"/>
      <c r="E41" s="4"/>
      <c r="F41" s="4"/>
      <c r="G41" s="133">
        <v>29</v>
      </c>
      <c r="H41" s="15"/>
      <c r="I41" s="15"/>
      <c r="J41" s="15"/>
      <c r="K41" s="15"/>
      <c r="L41" s="15"/>
      <c r="M41" s="15"/>
      <c r="N41" s="15"/>
      <c r="O41" s="15"/>
    </row>
    <row r="42" spans="2:15" x14ac:dyDescent="0.35">
      <c r="B42" s="134" t="s">
        <v>362</v>
      </c>
      <c r="C42" s="4" t="s">
        <v>368</v>
      </c>
      <c r="D42" s="4"/>
      <c r="E42" s="4"/>
      <c r="F42" s="4"/>
      <c r="G42" s="133">
        <v>30</v>
      </c>
      <c r="H42" s="15"/>
      <c r="I42" s="15"/>
      <c r="J42" s="15"/>
      <c r="K42" s="15"/>
      <c r="L42" s="15"/>
      <c r="M42" s="15"/>
      <c r="N42" s="15"/>
      <c r="O42" s="15"/>
    </row>
    <row r="43" spans="2:15" x14ac:dyDescent="0.35">
      <c r="B43" s="134" t="s">
        <v>362</v>
      </c>
      <c r="C43" s="4" t="s">
        <v>369</v>
      </c>
      <c r="D43" s="4"/>
      <c r="E43" s="4"/>
      <c r="F43" s="4"/>
      <c r="G43" s="133">
        <v>31</v>
      </c>
      <c r="H43" s="15"/>
      <c r="I43" s="15"/>
      <c r="J43" s="15"/>
      <c r="K43" s="15"/>
      <c r="L43" s="15"/>
      <c r="M43" s="15"/>
      <c r="N43" s="15"/>
      <c r="O43" s="15"/>
    </row>
    <row r="44" spans="2:15" x14ac:dyDescent="0.35">
      <c r="B44" s="134"/>
      <c r="C44" s="4"/>
      <c r="D44" s="4"/>
      <c r="E44" s="4"/>
      <c r="F44" s="4"/>
      <c r="G44" s="133"/>
      <c r="H44" s="15"/>
      <c r="I44" s="15"/>
      <c r="J44" s="15"/>
      <c r="K44" s="15"/>
      <c r="L44" s="15"/>
      <c r="M44" s="15"/>
      <c r="N44" s="15"/>
      <c r="O44" s="15"/>
    </row>
    <row r="45" spans="2:15" x14ac:dyDescent="0.35">
      <c r="B45" s="134"/>
      <c r="C45" s="4"/>
      <c r="D45" s="4"/>
      <c r="E45" s="4"/>
      <c r="F45" s="4"/>
      <c r="G45" s="133"/>
      <c r="H45" s="15"/>
      <c r="I45" s="15"/>
      <c r="J45" s="15"/>
      <c r="K45" s="15"/>
      <c r="L45" s="15"/>
      <c r="M45" s="15"/>
      <c r="N45" s="15"/>
      <c r="O45" s="15"/>
    </row>
    <row r="46" spans="2:15" x14ac:dyDescent="0.35">
      <c r="B46" s="134"/>
      <c r="C46" s="4"/>
      <c r="D46" s="4"/>
      <c r="E46" s="4"/>
      <c r="F46" s="4"/>
      <c r="G46" s="133"/>
      <c r="H46" s="15"/>
      <c r="I46" s="15"/>
      <c r="J46" s="15"/>
      <c r="K46" s="15"/>
      <c r="L46" s="15"/>
      <c r="M46" s="15"/>
      <c r="N46" s="15"/>
      <c r="O46" s="15"/>
    </row>
    <row r="47" spans="2:15" x14ac:dyDescent="0.35">
      <c r="B47" s="134"/>
      <c r="C47" s="4"/>
      <c r="D47" s="4"/>
      <c r="E47" s="4"/>
      <c r="F47" s="4"/>
      <c r="G47" s="133"/>
      <c r="H47" s="15"/>
      <c r="I47" s="15"/>
      <c r="J47" s="15"/>
      <c r="K47" s="15"/>
      <c r="L47" s="15"/>
      <c r="M47" s="15"/>
      <c r="N47" s="15"/>
      <c r="O47" s="15"/>
    </row>
    <row r="48" spans="2:15" x14ac:dyDescent="0.35">
      <c r="B48" s="134"/>
      <c r="C48" s="4"/>
      <c r="D48" s="4"/>
      <c r="E48" s="4"/>
      <c r="F48" s="4"/>
      <c r="G48" s="133"/>
      <c r="H48" s="15"/>
      <c r="I48" s="15"/>
      <c r="J48" s="15"/>
      <c r="K48" s="15"/>
      <c r="L48" s="15"/>
      <c r="M48" s="15"/>
      <c r="N48" s="15"/>
      <c r="O48" s="15"/>
    </row>
    <row r="49" spans="1:15" x14ac:dyDescent="0.35">
      <c r="B49" s="134"/>
      <c r="C49" s="4"/>
      <c r="D49" s="4"/>
      <c r="E49" s="4"/>
      <c r="F49" s="4"/>
      <c r="G49" s="133"/>
      <c r="H49" s="15"/>
      <c r="I49" s="15"/>
      <c r="J49" s="15"/>
      <c r="K49" s="15"/>
      <c r="L49" s="15"/>
      <c r="M49" s="15"/>
      <c r="N49" s="15"/>
      <c r="O49" s="15"/>
    </row>
    <row r="50" spans="1:15" x14ac:dyDescent="0.35">
      <c r="A50" s="138"/>
      <c r="B50" s="36"/>
      <c r="C50" s="7"/>
      <c r="D50" s="7"/>
      <c r="E50" s="7"/>
      <c r="F50" s="7"/>
      <c r="G50" s="36"/>
      <c r="H50" s="139"/>
      <c r="I50" s="139"/>
      <c r="J50" s="139"/>
      <c r="K50" s="139"/>
      <c r="L50" s="139"/>
      <c r="M50" s="139"/>
      <c r="N50" s="139"/>
      <c r="O50" s="15"/>
    </row>
    <row r="51" spans="1:15" x14ac:dyDescent="0.35">
      <c r="A51" s="8">
        <v>2</v>
      </c>
      <c r="B51" s="151" t="s">
        <v>91</v>
      </c>
      <c r="C51" s="3"/>
      <c r="D51" s="3"/>
      <c r="E51" s="7" t="s">
        <v>120</v>
      </c>
      <c r="F51" s="7"/>
      <c r="G51" s="1">
        <v>32</v>
      </c>
    </row>
    <row r="52" spans="1:15" x14ac:dyDescent="0.35">
      <c r="B52" s="1" t="s">
        <v>0</v>
      </c>
      <c r="C52" s="34" t="s">
        <v>3</v>
      </c>
    </row>
    <row r="53" spans="1:15" x14ac:dyDescent="0.35">
      <c r="B53" s="1"/>
      <c r="C53" s="4" t="s">
        <v>312</v>
      </c>
      <c r="G53" s="1">
        <v>33</v>
      </c>
    </row>
    <row r="54" spans="1:15" x14ac:dyDescent="0.35">
      <c r="B54" s="134" t="s">
        <v>362</v>
      </c>
      <c r="C54" s="4" t="s">
        <v>298</v>
      </c>
      <c r="G54" s="1">
        <v>34</v>
      </c>
      <c r="H54" s="136" t="s">
        <v>321</v>
      </c>
      <c r="I54" s="136"/>
      <c r="J54" s="136"/>
      <c r="K54" s="136"/>
      <c r="L54" s="136"/>
      <c r="M54" s="136"/>
      <c r="N54" s="136"/>
      <c r="O54" s="136"/>
    </row>
    <row r="55" spans="1:15" x14ac:dyDescent="0.35">
      <c r="B55" s="1"/>
      <c r="C55" s="132" t="s">
        <v>290</v>
      </c>
      <c r="D55" s="132"/>
      <c r="E55" s="132"/>
      <c r="F55" s="132"/>
      <c r="G55" s="133"/>
      <c r="H55" s="136"/>
      <c r="I55" s="136"/>
      <c r="J55" s="136"/>
      <c r="K55" s="136"/>
      <c r="L55" s="136"/>
      <c r="M55" s="136"/>
      <c r="N55" s="136"/>
      <c r="O55" s="136"/>
    </row>
    <row r="56" spans="1:15" x14ac:dyDescent="0.35">
      <c r="B56" s="134" t="s">
        <v>362</v>
      </c>
      <c r="C56" s="4" t="s">
        <v>302</v>
      </c>
      <c r="G56" s="1">
        <v>35</v>
      </c>
      <c r="H56" s="136" t="s">
        <v>322</v>
      </c>
      <c r="I56" s="136"/>
      <c r="J56" s="136"/>
      <c r="K56" s="136"/>
      <c r="L56" s="136"/>
      <c r="M56" s="136"/>
      <c r="N56" s="136"/>
      <c r="O56" s="136"/>
    </row>
    <row r="57" spans="1:15" x14ac:dyDescent="0.35">
      <c r="B57" s="1"/>
      <c r="C57" s="6" t="s">
        <v>303</v>
      </c>
      <c r="D57" s="6"/>
      <c r="E57" s="6"/>
      <c r="F57" s="6"/>
      <c r="G57" s="133"/>
      <c r="H57" s="136"/>
      <c r="I57" s="136"/>
      <c r="J57" s="136"/>
      <c r="K57" s="136"/>
      <c r="L57" s="136"/>
      <c r="M57" s="136"/>
      <c r="N57" s="136"/>
      <c r="O57" s="136"/>
    </row>
    <row r="58" spans="1:15" x14ac:dyDescent="0.35">
      <c r="B58" s="134" t="s">
        <v>362</v>
      </c>
      <c r="C58" s="130" t="s">
        <v>304</v>
      </c>
      <c r="D58" s="130"/>
      <c r="E58" s="130"/>
      <c r="F58" s="130"/>
      <c r="G58" s="133">
        <v>36</v>
      </c>
      <c r="H58" s="135" t="s">
        <v>323</v>
      </c>
      <c r="I58" s="135"/>
      <c r="J58" s="135"/>
      <c r="K58" s="135"/>
      <c r="L58" s="135"/>
      <c r="M58" s="135"/>
      <c r="N58" s="135"/>
      <c r="O58" s="135"/>
    </row>
    <row r="59" spans="1:15" x14ac:dyDescent="0.35">
      <c r="B59" s="1"/>
      <c r="C59" s="132" t="s">
        <v>290</v>
      </c>
      <c r="D59" s="132"/>
      <c r="E59" s="132"/>
      <c r="F59" s="132"/>
      <c r="G59" s="133"/>
    </row>
    <row r="60" spans="1:15" x14ac:dyDescent="0.35">
      <c r="B60" s="134" t="s">
        <v>362</v>
      </c>
      <c r="C60" s="4" t="s">
        <v>313</v>
      </c>
      <c r="G60" s="1">
        <v>37</v>
      </c>
      <c r="H60" t="s">
        <v>324</v>
      </c>
    </row>
    <row r="61" spans="1:15" x14ac:dyDescent="0.35">
      <c r="B61" s="1"/>
      <c r="C61" s="6" t="s">
        <v>290</v>
      </c>
      <c r="D61" s="6"/>
      <c r="E61" s="6"/>
      <c r="F61" s="6"/>
      <c r="G61" s="134"/>
    </row>
    <row r="62" spans="1:15" x14ac:dyDescent="0.35">
      <c r="B62" s="134" t="s">
        <v>362</v>
      </c>
      <c r="C62" s="4" t="s">
        <v>314</v>
      </c>
      <c r="G62" s="1">
        <v>38</v>
      </c>
      <c r="H62" t="s">
        <v>325</v>
      </c>
    </row>
    <row r="63" spans="1:15" x14ac:dyDescent="0.35">
      <c r="B63" s="1"/>
      <c r="C63" s="6" t="s">
        <v>290</v>
      </c>
      <c r="D63" s="6"/>
      <c r="E63" s="6"/>
      <c r="F63" s="6"/>
      <c r="G63" s="134"/>
    </row>
    <row r="64" spans="1:15" x14ac:dyDescent="0.35">
      <c r="B64" s="134" t="s">
        <v>362</v>
      </c>
      <c r="C64" s="4" t="s">
        <v>295</v>
      </c>
      <c r="G64" s="1">
        <v>39</v>
      </c>
      <c r="H64" s="136" t="s">
        <v>326</v>
      </c>
      <c r="I64" s="136"/>
      <c r="J64" s="136"/>
      <c r="K64" s="136"/>
      <c r="L64" s="136"/>
      <c r="M64" s="136"/>
      <c r="N64" s="136"/>
      <c r="O64" s="136"/>
    </row>
    <row r="65" spans="1:15" x14ac:dyDescent="0.35">
      <c r="B65" s="1"/>
      <c r="C65" s="6" t="s">
        <v>290</v>
      </c>
      <c r="D65" s="6"/>
      <c r="E65" s="6"/>
      <c r="F65" s="6"/>
      <c r="G65" s="134"/>
      <c r="H65" s="136"/>
      <c r="I65" s="136"/>
      <c r="J65" s="136"/>
      <c r="K65" s="136"/>
      <c r="L65" s="136"/>
      <c r="M65" s="136"/>
      <c r="N65" s="136"/>
      <c r="O65" s="136"/>
    </row>
    <row r="66" spans="1:15" x14ac:dyDescent="0.35">
      <c r="B66" s="1"/>
      <c r="C66" s="4"/>
      <c r="D66" s="4"/>
      <c r="E66" s="4"/>
      <c r="F66" s="4"/>
      <c r="G66" s="133"/>
      <c r="H66" s="15"/>
      <c r="I66" s="15"/>
      <c r="J66" s="15"/>
      <c r="K66" s="15"/>
      <c r="L66" s="15"/>
      <c r="M66" s="15"/>
      <c r="N66" s="15"/>
      <c r="O66" s="15"/>
    </row>
    <row r="67" spans="1:15" x14ac:dyDescent="0.35">
      <c r="B67" s="134" t="s">
        <v>362</v>
      </c>
      <c r="C67" s="4" t="s">
        <v>307</v>
      </c>
      <c r="D67" s="4"/>
      <c r="E67" s="4"/>
      <c r="F67" s="4"/>
      <c r="G67" s="133"/>
      <c r="H67" s="128" t="s">
        <v>327</v>
      </c>
      <c r="I67" s="128"/>
      <c r="J67" s="128"/>
      <c r="K67" s="128"/>
      <c r="L67" s="128"/>
      <c r="M67" s="128"/>
      <c r="N67" s="128"/>
      <c r="O67" s="128"/>
    </row>
    <row r="68" spans="1:15" x14ac:dyDescent="0.35">
      <c r="B68" s="134" t="s">
        <v>362</v>
      </c>
      <c r="C68" s="4" t="s">
        <v>315</v>
      </c>
      <c r="D68" s="4"/>
      <c r="E68" s="4"/>
      <c r="F68" s="4"/>
      <c r="G68" s="133">
        <v>41</v>
      </c>
      <c r="H68" s="128"/>
      <c r="I68" s="128"/>
      <c r="J68" s="128"/>
      <c r="K68" s="128"/>
      <c r="L68" s="128"/>
      <c r="M68" s="128"/>
      <c r="N68" s="128"/>
      <c r="O68" s="128"/>
    </row>
    <row r="69" spans="1:15" x14ac:dyDescent="0.35">
      <c r="B69" s="134" t="s">
        <v>362</v>
      </c>
      <c r="C69" s="4" t="s">
        <v>310</v>
      </c>
      <c r="D69" s="4"/>
      <c r="E69" s="4"/>
      <c r="F69" s="4"/>
      <c r="G69" s="133">
        <f>+G68+1</f>
        <v>42</v>
      </c>
      <c r="H69" s="15"/>
      <c r="I69" s="15"/>
      <c r="J69" s="15"/>
      <c r="K69" s="15"/>
      <c r="L69" s="15"/>
      <c r="M69" s="15"/>
      <c r="N69" s="15"/>
      <c r="O69" s="15"/>
    </row>
    <row r="70" spans="1:15" x14ac:dyDescent="0.35">
      <c r="B70" s="134" t="s">
        <v>362</v>
      </c>
      <c r="C70" s="4" t="s">
        <v>316</v>
      </c>
      <c r="D70" s="4"/>
      <c r="E70" s="4"/>
      <c r="F70" s="4"/>
      <c r="G70" s="133">
        <f t="shared" ref="G70:G71" si="1">+G69+1</f>
        <v>43</v>
      </c>
      <c r="H70" s="15"/>
      <c r="I70" s="15"/>
      <c r="J70" s="15"/>
      <c r="K70" s="15"/>
      <c r="L70" s="15"/>
      <c r="M70" s="15"/>
      <c r="N70" s="15"/>
      <c r="O70" s="15"/>
    </row>
    <row r="71" spans="1:15" x14ac:dyDescent="0.35">
      <c r="B71" s="134" t="s">
        <v>362</v>
      </c>
      <c r="C71" s="4" t="s">
        <v>317</v>
      </c>
      <c r="D71" s="4"/>
      <c r="E71" s="4"/>
      <c r="F71" s="4"/>
      <c r="G71" s="133">
        <f t="shared" si="1"/>
        <v>44</v>
      </c>
      <c r="H71" s="15"/>
      <c r="I71" s="15"/>
      <c r="J71" s="15"/>
      <c r="K71" s="15"/>
      <c r="L71" s="15"/>
      <c r="M71" s="15"/>
      <c r="N71" s="15"/>
      <c r="O71" s="15"/>
    </row>
    <row r="72" spans="1:15" x14ac:dyDescent="0.35">
      <c r="A72" s="141"/>
      <c r="B72" s="143"/>
      <c r="C72" s="142"/>
      <c r="D72" s="142"/>
      <c r="E72" s="142"/>
      <c r="F72" s="142"/>
      <c r="G72" s="143"/>
      <c r="H72" s="142"/>
      <c r="I72" s="142"/>
      <c r="J72" s="142"/>
      <c r="K72" s="142"/>
      <c r="L72" s="142"/>
      <c r="M72" s="142"/>
      <c r="N72" s="142"/>
      <c r="O72" s="142"/>
    </row>
    <row r="73" spans="1:15" x14ac:dyDescent="0.35">
      <c r="A73" s="8">
        <v>3</v>
      </c>
      <c r="B73" s="151" t="s">
        <v>91</v>
      </c>
      <c r="C73" s="3"/>
      <c r="D73" s="3"/>
      <c r="E73" s="7" t="s">
        <v>120</v>
      </c>
      <c r="F73" s="7"/>
      <c r="G73" s="1">
        <f>+G71+1</f>
        <v>45</v>
      </c>
    </row>
    <row r="74" spans="1:15" x14ac:dyDescent="0.35">
      <c r="B74" s="1" t="s">
        <v>0</v>
      </c>
      <c r="C74" s="34" t="s">
        <v>6</v>
      </c>
    </row>
    <row r="75" spans="1:15" x14ac:dyDescent="0.35">
      <c r="B75" s="1"/>
      <c r="C75" s="4" t="s">
        <v>318</v>
      </c>
      <c r="G75" s="1">
        <f>+G73+1</f>
        <v>46</v>
      </c>
    </row>
    <row r="76" spans="1:15" x14ac:dyDescent="0.35">
      <c r="B76" s="134" t="s">
        <v>362</v>
      </c>
      <c r="C76" s="4" t="s">
        <v>298</v>
      </c>
      <c r="G76" s="1">
        <f>+G75+1</f>
        <v>47</v>
      </c>
      <c r="H76" s="136" t="s">
        <v>328</v>
      </c>
      <c r="I76" s="136"/>
      <c r="J76" s="136"/>
      <c r="K76" s="136"/>
      <c r="L76" s="136"/>
      <c r="M76" s="136"/>
      <c r="N76" s="136"/>
      <c r="O76" s="136"/>
    </row>
    <row r="77" spans="1:15" x14ac:dyDescent="0.35">
      <c r="B77" s="1"/>
      <c r="C77" s="132" t="s">
        <v>290</v>
      </c>
      <c r="D77" s="132"/>
      <c r="E77" s="132"/>
      <c r="F77" s="132"/>
      <c r="G77" s="133"/>
      <c r="H77" s="136"/>
      <c r="I77" s="136"/>
      <c r="J77" s="136"/>
      <c r="K77" s="136"/>
      <c r="L77" s="136"/>
      <c r="M77" s="136"/>
      <c r="N77" s="136"/>
      <c r="O77" s="136"/>
    </row>
    <row r="78" spans="1:15" x14ac:dyDescent="0.35">
      <c r="B78" s="134" t="s">
        <v>362</v>
      </c>
      <c r="C78" s="4" t="s">
        <v>302</v>
      </c>
      <c r="G78" s="1">
        <f>+G76+1</f>
        <v>48</v>
      </c>
      <c r="H78" s="136" t="s">
        <v>329</v>
      </c>
      <c r="I78" s="136"/>
      <c r="J78" s="136"/>
      <c r="K78" s="136"/>
      <c r="L78" s="136"/>
      <c r="M78" s="136"/>
      <c r="N78" s="136"/>
      <c r="O78" s="136"/>
    </row>
    <row r="79" spans="1:15" x14ac:dyDescent="0.35">
      <c r="B79" s="1"/>
      <c r="C79" s="6" t="s">
        <v>303</v>
      </c>
      <c r="D79" s="6"/>
      <c r="E79" s="6"/>
      <c r="F79" s="6"/>
      <c r="G79" s="133"/>
      <c r="H79" s="136"/>
      <c r="I79" s="136"/>
      <c r="J79" s="136"/>
      <c r="K79" s="136"/>
      <c r="L79" s="136"/>
      <c r="M79" s="136"/>
      <c r="N79" s="136"/>
      <c r="O79" s="136"/>
    </row>
    <row r="80" spans="1:15" x14ac:dyDescent="0.35">
      <c r="B80" s="134" t="s">
        <v>362</v>
      </c>
      <c r="C80" s="130" t="s">
        <v>304</v>
      </c>
      <c r="D80" s="130"/>
      <c r="E80" s="130"/>
      <c r="F80" s="130"/>
      <c r="G80" s="1">
        <f>+G78+1</f>
        <v>49</v>
      </c>
      <c r="H80" s="135" t="s">
        <v>330</v>
      </c>
      <c r="I80" s="135"/>
      <c r="J80" s="135"/>
      <c r="K80" s="135"/>
      <c r="L80" s="135"/>
      <c r="M80" s="135"/>
      <c r="N80" s="135"/>
      <c r="O80" s="135"/>
    </row>
    <row r="81" spans="1:15" x14ac:dyDescent="0.35">
      <c r="B81" s="1"/>
      <c r="C81" s="132" t="s">
        <v>290</v>
      </c>
      <c r="D81" s="132"/>
      <c r="E81" s="132"/>
      <c r="F81" s="132"/>
      <c r="G81" s="133"/>
    </row>
    <row r="82" spans="1:15" x14ac:dyDescent="0.35">
      <c r="B82" s="134" t="s">
        <v>362</v>
      </c>
      <c r="C82" s="4" t="s">
        <v>319</v>
      </c>
      <c r="G82" s="1">
        <f>+G80+1</f>
        <v>50</v>
      </c>
      <c r="H82" t="s">
        <v>331</v>
      </c>
    </row>
    <row r="83" spans="1:15" x14ac:dyDescent="0.35">
      <c r="B83" s="1"/>
      <c r="C83" s="145" t="s">
        <v>290</v>
      </c>
      <c r="D83" s="145"/>
      <c r="E83" s="145"/>
      <c r="F83" s="145"/>
      <c r="G83" s="133"/>
    </row>
    <row r="84" spans="1:15" ht="26" customHeight="1" x14ac:dyDescent="0.35">
      <c r="B84" s="134" t="s">
        <v>362</v>
      </c>
      <c r="C84" s="144" t="s">
        <v>320</v>
      </c>
      <c r="D84" s="144"/>
      <c r="E84" s="144"/>
      <c r="F84" s="144"/>
      <c r="G84" s="1">
        <f>+G82+1</f>
        <v>51</v>
      </c>
      <c r="H84" t="s">
        <v>332</v>
      </c>
    </row>
    <row r="85" spans="1:15" x14ac:dyDescent="0.35">
      <c r="B85" s="1"/>
      <c r="C85" s="145" t="s">
        <v>290</v>
      </c>
      <c r="D85" s="145"/>
      <c r="E85" s="145"/>
      <c r="F85" s="145"/>
      <c r="G85" s="133"/>
    </row>
    <row r="86" spans="1:15" x14ac:dyDescent="0.35">
      <c r="B86" s="134" t="s">
        <v>362</v>
      </c>
      <c r="C86" s="4" t="s">
        <v>295</v>
      </c>
      <c r="G86" s="1">
        <f>+G84+1</f>
        <v>52</v>
      </c>
      <c r="H86" s="136" t="s">
        <v>326</v>
      </c>
      <c r="I86" s="136"/>
      <c r="J86" s="136"/>
      <c r="K86" s="136"/>
      <c r="L86" s="136"/>
      <c r="M86" s="136"/>
      <c r="N86" s="136"/>
      <c r="O86" s="136"/>
    </row>
    <row r="87" spans="1:15" x14ac:dyDescent="0.35">
      <c r="B87" s="1"/>
      <c r="C87" s="145" t="s">
        <v>290</v>
      </c>
      <c r="D87" s="145"/>
      <c r="E87" s="145"/>
      <c r="F87" s="145"/>
      <c r="G87" s="133"/>
      <c r="H87" s="136"/>
      <c r="I87" s="136"/>
      <c r="J87" s="136"/>
      <c r="K87" s="136"/>
      <c r="L87" s="136"/>
      <c r="M87" s="136"/>
      <c r="N87" s="136"/>
      <c r="O87" s="136"/>
    </row>
    <row r="88" spans="1:15" x14ac:dyDescent="0.35">
      <c r="B88" s="1"/>
      <c r="C88" s="4"/>
      <c r="D88" s="4"/>
      <c r="E88" s="4"/>
      <c r="F88" s="4"/>
      <c r="G88" s="133"/>
      <c r="H88" s="15"/>
      <c r="I88" s="15"/>
      <c r="J88" s="15"/>
      <c r="K88" s="15"/>
      <c r="L88" s="15"/>
      <c r="M88" s="15"/>
      <c r="N88" s="15"/>
      <c r="O88" s="15"/>
    </row>
    <row r="89" spans="1:15" x14ac:dyDescent="0.35">
      <c r="B89" s="134" t="s">
        <v>362</v>
      </c>
      <c r="C89" s="4" t="s">
        <v>307</v>
      </c>
      <c r="D89" s="4"/>
      <c r="E89" s="4"/>
      <c r="F89" s="4"/>
      <c r="H89" s="128" t="s">
        <v>333</v>
      </c>
      <c r="I89" s="128"/>
      <c r="J89" s="128"/>
      <c r="K89" s="128"/>
      <c r="L89" s="128"/>
      <c r="M89" s="128"/>
      <c r="N89" s="128"/>
      <c r="O89" s="128"/>
    </row>
    <row r="90" spans="1:15" x14ac:dyDescent="0.35">
      <c r="B90" s="134" t="s">
        <v>362</v>
      </c>
      <c r="C90" s="4" t="s">
        <v>315</v>
      </c>
      <c r="D90" s="4"/>
      <c r="E90" s="4"/>
      <c r="F90" s="4"/>
      <c r="G90" s="1">
        <f>+G86+1</f>
        <v>53</v>
      </c>
      <c r="H90" s="128"/>
      <c r="I90" s="128"/>
      <c r="J90" s="128"/>
      <c r="K90" s="128"/>
      <c r="L90" s="128"/>
      <c r="M90" s="128"/>
      <c r="N90" s="128"/>
      <c r="O90" s="128"/>
    </row>
    <row r="91" spans="1:15" x14ac:dyDescent="0.35">
      <c r="B91" s="134" t="s">
        <v>362</v>
      </c>
      <c r="C91" s="4" t="s">
        <v>310</v>
      </c>
      <c r="D91" s="4"/>
      <c r="E91" s="4"/>
      <c r="F91" s="4"/>
      <c r="G91" s="1">
        <f t="shared" ref="G91:G93" si="2">+G90+1</f>
        <v>54</v>
      </c>
      <c r="H91" s="15"/>
      <c r="I91" s="15"/>
      <c r="J91" s="15"/>
      <c r="K91" s="15"/>
      <c r="L91" s="15"/>
      <c r="M91" s="15"/>
      <c r="N91" s="15"/>
      <c r="O91" s="15"/>
    </row>
    <row r="92" spans="1:15" x14ac:dyDescent="0.35">
      <c r="B92" s="134" t="s">
        <v>362</v>
      </c>
      <c r="C92" s="4" t="s">
        <v>316</v>
      </c>
      <c r="D92" s="4"/>
      <c r="E92" s="4"/>
      <c r="F92" s="4"/>
      <c r="G92" s="1">
        <f t="shared" si="2"/>
        <v>55</v>
      </c>
      <c r="H92" s="15"/>
      <c r="I92" s="15"/>
      <c r="J92" s="15"/>
      <c r="K92" s="15"/>
      <c r="L92" s="15"/>
      <c r="M92" s="15"/>
      <c r="N92" s="15"/>
      <c r="O92" s="15"/>
    </row>
    <row r="93" spans="1:15" x14ac:dyDescent="0.35">
      <c r="B93" s="134" t="s">
        <v>362</v>
      </c>
      <c r="C93" s="4" t="s">
        <v>317</v>
      </c>
      <c r="D93" s="4"/>
      <c r="E93" s="4"/>
      <c r="F93" s="4"/>
      <c r="G93" s="1">
        <f t="shared" si="2"/>
        <v>56</v>
      </c>
      <c r="H93" s="15"/>
      <c r="I93" s="15"/>
      <c r="J93" s="15"/>
      <c r="K93" s="15"/>
      <c r="L93" s="15"/>
      <c r="M93" s="15"/>
      <c r="N93" s="15"/>
      <c r="O93" s="15"/>
    </row>
    <row r="94" spans="1:15" x14ac:dyDescent="0.35">
      <c r="A94" s="146"/>
      <c r="B94" s="147"/>
      <c r="C94" s="124"/>
      <c r="D94" s="124"/>
      <c r="E94" s="124"/>
      <c r="F94" s="124"/>
      <c r="G94" s="147"/>
      <c r="H94" s="124"/>
      <c r="I94" s="124"/>
      <c r="J94" s="124"/>
      <c r="K94" s="124"/>
      <c r="L94" s="124"/>
      <c r="M94" s="124"/>
      <c r="N94" s="124"/>
      <c r="O94" s="124"/>
    </row>
    <row r="95" spans="1:15" x14ac:dyDescent="0.35">
      <c r="A95" s="8">
        <v>4</v>
      </c>
      <c r="B95" s="151" t="s">
        <v>91</v>
      </c>
      <c r="C95" s="3"/>
      <c r="D95" s="3"/>
      <c r="E95" s="7" t="s">
        <v>120</v>
      </c>
      <c r="F95" s="7"/>
      <c r="G95" s="1">
        <f>+G93+1</f>
        <v>57</v>
      </c>
    </row>
    <row r="96" spans="1:15" x14ac:dyDescent="0.35">
      <c r="B96" s="1" t="s">
        <v>0</v>
      </c>
      <c r="C96" s="34" t="s">
        <v>7</v>
      </c>
    </row>
    <row r="97" spans="2:15" x14ac:dyDescent="0.35">
      <c r="B97" s="1"/>
      <c r="C97" s="4" t="s">
        <v>334</v>
      </c>
      <c r="G97" s="1">
        <f t="shared" ref="G97" si="3">+G95+1</f>
        <v>58</v>
      </c>
    </row>
    <row r="98" spans="2:15" x14ac:dyDescent="0.35">
      <c r="B98" s="134" t="s">
        <v>362</v>
      </c>
      <c r="C98" s="4" t="s">
        <v>298</v>
      </c>
      <c r="G98" s="1">
        <f>+G97+1</f>
        <v>59</v>
      </c>
      <c r="H98" s="136" t="s">
        <v>340</v>
      </c>
      <c r="I98" s="136"/>
      <c r="J98" s="136"/>
      <c r="K98" s="136"/>
      <c r="L98" s="136"/>
      <c r="M98" s="136"/>
      <c r="N98" s="136"/>
      <c r="O98" s="136"/>
    </row>
    <row r="99" spans="2:15" x14ac:dyDescent="0.35">
      <c r="B99" s="1"/>
      <c r="C99" s="132" t="s">
        <v>290</v>
      </c>
      <c r="D99" s="132"/>
      <c r="E99" s="132"/>
      <c r="F99" s="132"/>
      <c r="G99" s="1">
        <f t="shared" ref="G99:G100" si="4">+G98+1</f>
        <v>60</v>
      </c>
      <c r="H99" s="136"/>
      <c r="I99" s="136"/>
      <c r="J99" s="136"/>
      <c r="K99" s="136"/>
      <c r="L99" s="136"/>
      <c r="M99" s="136"/>
      <c r="N99" s="136"/>
      <c r="O99" s="136"/>
    </row>
    <row r="100" spans="2:15" x14ac:dyDescent="0.35">
      <c r="B100" s="134" t="s">
        <v>362</v>
      </c>
      <c r="C100" s="4" t="s">
        <v>302</v>
      </c>
      <c r="G100" s="1">
        <f t="shared" si="4"/>
        <v>61</v>
      </c>
      <c r="H100" s="136" t="s">
        <v>337</v>
      </c>
      <c r="I100" s="136"/>
      <c r="J100" s="136"/>
      <c r="K100" s="136"/>
      <c r="L100" s="136"/>
      <c r="M100" s="136"/>
      <c r="N100" s="136"/>
      <c r="O100" s="136"/>
    </row>
    <row r="101" spans="2:15" x14ac:dyDescent="0.35">
      <c r="B101" s="1"/>
      <c r="C101" s="6" t="s">
        <v>303</v>
      </c>
      <c r="D101" s="6"/>
      <c r="E101" s="6"/>
      <c r="F101" s="6"/>
      <c r="G101" s="133"/>
      <c r="H101" s="136"/>
      <c r="I101" s="136"/>
      <c r="J101" s="136"/>
      <c r="K101" s="136"/>
      <c r="L101" s="136"/>
      <c r="M101" s="136"/>
      <c r="N101" s="136"/>
      <c r="O101" s="136"/>
    </row>
    <row r="102" spans="2:15" ht="14.5" customHeight="1" x14ac:dyDescent="0.35">
      <c r="B102" s="134" t="s">
        <v>362</v>
      </c>
      <c r="C102" s="130" t="s">
        <v>304</v>
      </c>
      <c r="D102" s="130"/>
      <c r="E102" s="130"/>
      <c r="F102" s="130"/>
      <c r="G102" s="1">
        <f>+G100+1</f>
        <v>62</v>
      </c>
      <c r="H102" s="136" t="s">
        <v>338</v>
      </c>
      <c r="I102" s="136"/>
      <c r="J102" s="136"/>
      <c r="K102" s="136"/>
      <c r="L102" s="136"/>
      <c r="M102" s="136"/>
      <c r="N102" s="136"/>
      <c r="O102" s="136"/>
    </row>
    <row r="103" spans="2:15" x14ac:dyDescent="0.35">
      <c r="B103" s="1"/>
      <c r="C103" s="132" t="s">
        <v>290</v>
      </c>
      <c r="D103" s="132"/>
      <c r="E103" s="132"/>
      <c r="F103" s="132"/>
      <c r="G103" s="133"/>
      <c r="H103" s="136"/>
      <c r="I103" s="136"/>
      <c r="J103" s="136"/>
      <c r="K103" s="136"/>
      <c r="L103" s="136"/>
      <c r="M103" s="136"/>
      <c r="N103" s="136"/>
      <c r="O103" s="136"/>
    </row>
    <row r="104" spans="2:15" x14ac:dyDescent="0.35">
      <c r="B104" s="134" t="s">
        <v>362</v>
      </c>
      <c r="C104" s="4" t="s">
        <v>313</v>
      </c>
      <c r="G104" s="1">
        <f>+G102+1</f>
        <v>63</v>
      </c>
      <c r="H104" t="s">
        <v>341</v>
      </c>
    </row>
    <row r="105" spans="2:15" x14ac:dyDescent="0.35">
      <c r="B105" s="1"/>
      <c r="C105" s="6" t="s">
        <v>290</v>
      </c>
      <c r="D105" s="6"/>
      <c r="E105" s="6"/>
      <c r="F105" s="6"/>
      <c r="G105" s="134"/>
    </row>
    <row r="106" spans="2:15" x14ac:dyDescent="0.35">
      <c r="B106" s="134" t="s">
        <v>362</v>
      </c>
      <c r="C106" s="4" t="s">
        <v>314</v>
      </c>
      <c r="G106" s="1">
        <f>+G104+1</f>
        <v>64</v>
      </c>
      <c r="H106" t="s">
        <v>339</v>
      </c>
    </row>
    <row r="107" spans="2:15" x14ac:dyDescent="0.35">
      <c r="B107" s="1"/>
      <c r="C107" s="6" t="s">
        <v>290</v>
      </c>
      <c r="D107" s="6"/>
      <c r="E107" s="6"/>
      <c r="F107" s="6"/>
      <c r="G107" s="134"/>
    </row>
    <row r="108" spans="2:15" x14ac:dyDescent="0.35">
      <c r="B108" s="134" t="s">
        <v>362</v>
      </c>
      <c r="C108" s="4" t="s">
        <v>295</v>
      </c>
      <c r="G108" s="1">
        <f>+G106+1</f>
        <v>65</v>
      </c>
      <c r="H108" s="136" t="s">
        <v>342</v>
      </c>
      <c r="I108" s="136"/>
      <c r="J108" s="136"/>
      <c r="K108" s="136"/>
      <c r="L108" s="136"/>
      <c r="M108" s="136"/>
      <c r="N108" s="136"/>
      <c r="O108" s="136"/>
    </row>
    <row r="109" spans="2:15" x14ac:dyDescent="0.35">
      <c r="B109" s="1"/>
      <c r="C109" s="6" t="s">
        <v>290</v>
      </c>
      <c r="D109" s="6"/>
      <c r="E109" s="6"/>
      <c r="F109" s="6"/>
      <c r="G109" s="134"/>
      <c r="H109" s="136"/>
      <c r="I109" s="136"/>
      <c r="J109" s="136"/>
      <c r="K109" s="136"/>
      <c r="L109" s="136"/>
      <c r="M109" s="136"/>
      <c r="N109" s="136"/>
      <c r="O109" s="136"/>
    </row>
    <row r="110" spans="2:15" x14ac:dyDescent="0.35">
      <c r="B110" s="1"/>
      <c r="C110" s="4"/>
      <c r="D110" s="4"/>
      <c r="E110" s="4"/>
      <c r="F110" s="4"/>
      <c r="G110" s="133"/>
      <c r="H110" s="15"/>
      <c r="I110" s="15"/>
      <c r="J110" s="15"/>
      <c r="K110" s="15"/>
      <c r="L110" s="15"/>
      <c r="M110" s="15"/>
      <c r="N110" s="15"/>
      <c r="O110" s="15"/>
    </row>
    <row r="111" spans="2:15" x14ac:dyDescent="0.35">
      <c r="B111" s="134" t="s">
        <v>362</v>
      </c>
      <c r="C111" s="4" t="s">
        <v>344</v>
      </c>
      <c r="D111" s="4"/>
      <c r="E111" s="4"/>
      <c r="F111" s="4"/>
      <c r="H111" s="135" t="s">
        <v>343</v>
      </c>
      <c r="I111" s="135"/>
      <c r="J111" s="135"/>
      <c r="K111" s="135"/>
      <c r="L111" s="135"/>
      <c r="M111" s="135"/>
      <c r="N111" s="135"/>
      <c r="O111" s="135"/>
    </row>
    <row r="112" spans="2:15" x14ac:dyDescent="0.35">
      <c r="B112" s="134" t="s">
        <v>362</v>
      </c>
      <c r="C112" s="4" t="s">
        <v>335</v>
      </c>
      <c r="D112" s="4"/>
      <c r="E112" s="4"/>
      <c r="F112" s="4"/>
      <c r="G112" s="1">
        <f>+G108+1</f>
        <v>66</v>
      </c>
      <c r="H112" s="135"/>
      <c r="I112" s="135"/>
      <c r="J112" s="135"/>
      <c r="K112" s="135"/>
      <c r="L112" s="135"/>
      <c r="M112" s="135"/>
      <c r="N112" s="135"/>
      <c r="O112" s="135"/>
    </row>
    <row r="113" spans="1:15" x14ac:dyDescent="0.35">
      <c r="B113" s="134" t="s">
        <v>362</v>
      </c>
      <c r="C113" s="4" t="s">
        <v>310</v>
      </c>
      <c r="D113" s="4"/>
      <c r="E113" s="4"/>
      <c r="F113" s="4"/>
      <c r="G113" s="1">
        <f t="shared" ref="G113:G115" si="5">+G112+1</f>
        <v>67</v>
      </c>
      <c r="H113" s="15"/>
      <c r="I113" s="15"/>
      <c r="J113" s="15"/>
      <c r="K113" s="15"/>
      <c r="L113" s="15"/>
      <c r="M113" s="15"/>
      <c r="N113" s="15"/>
      <c r="O113" s="15"/>
    </row>
    <row r="114" spans="1:15" x14ac:dyDescent="0.35">
      <c r="B114" s="134" t="s">
        <v>362</v>
      </c>
      <c r="C114" s="4" t="s">
        <v>336</v>
      </c>
      <c r="D114" s="4"/>
      <c r="E114" s="4"/>
      <c r="F114" s="4"/>
      <c r="G114" s="1">
        <f t="shared" si="5"/>
        <v>68</v>
      </c>
      <c r="H114" s="15"/>
      <c r="I114" s="15"/>
      <c r="J114" s="15"/>
      <c r="K114" s="15"/>
      <c r="L114" s="15"/>
      <c r="M114" s="15"/>
      <c r="N114" s="15"/>
      <c r="O114" s="15"/>
    </row>
    <row r="115" spans="1:15" x14ac:dyDescent="0.35">
      <c r="B115" s="140" t="s">
        <v>362</v>
      </c>
      <c r="C115" s="4" t="s">
        <v>385</v>
      </c>
      <c r="D115" s="4"/>
      <c r="E115" s="4"/>
      <c r="F115" s="4"/>
      <c r="G115" s="1">
        <f t="shared" si="5"/>
        <v>69</v>
      </c>
      <c r="H115" s="171" t="s">
        <v>383</v>
      </c>
      <c r="I115" s="15"/>
      <c r="J115" s="15"/>
      <c r="K115" s="15"/>
      <c r="L115" s="15"/>
      <c r="M115" s="15"/>
      <c r="N115" s="15"/>
      <c r="O115" s="15"/>
    </row>
    <row r="116" spans="1:15" x14ac:dyDescent="0.35">
      <c r="B116" s="140" t="s">
        <v>362</v>
      </c>
      <c r="C116" s="4" t="s">
        <v>370</v>
      </c>
      <c r="D116" s="4"/>
      <c r="E116" s="4"/>
      <c r="F116" s="4"/>
      <c r="G116" s="1">
        <f>+G115+1</f>
        <v>70</v>
      </c>
      <c r="H116" s="171" t="s">
        <v>383</v>
      </c>
      <c r="I116" s="15"/>
      <c r="J116" s="15"/>
      <c r="K116" s="15"/>
      <c r="L116" s="15"/>
      <c r="M116" s="15"/>
      <c r="N116" s="15"/>
      <c r="O116" s="15"/>
    </row>
    <row r="117" spans="1:15" x14ac:dyDescent="0.35">
      <c r="B117" s="134" t="s">
        <v>362</v>
      </c>
      <c r="C117" s="4" t="s">
        <v>386</v>
      </c>
      <c r="D117" s="4"/>
      <c r="E117" s="4"/>
      <c r="F117" s="4"/>
      <c r="G117" s="1">
        <f t="shared" ref="G117:G118" si="6">+G116+1</f>
        <v>71</v>
      </c>
      <c r="H117" s="171" t="s">
        <v>383</v>
      </c>
      <c r="I117" s="15"/>
      <c r="J117" s="15"/>
      <c r="K117" s="15"/>
      <c r="L117" s="15"/>
      <c r="M117" s="15"/>
      <c r="N117" s="15"/>
      <c r="O117" s="15"/>
    </row>
    <row r="118" spans="1:15" x14ac:dyDescent="0.35">
      <c r="B118" s="134" t="s">
        <v>362</v>
      </c>
      <c r="C118" s="4" t="s">
        <v>376</v>
      </c>
      <c r="D118" s="4"/>
      <c r="E118" s="4"/>
      <c r="F118" s="4"/>
      <c r="G118" s="1">
        <f t="shared" si="6"/>
        <v>72</v>
      </c>
      <c r="H118" s="171" t="s">
        <v>384</v>
      </c>
      <c r="I118" s="15"/>
      <c r="J118" s="15"/>
      <c r="K118" s="15"/>
      <c r="L118" s="15"/>
      <c r="M118" s="15"/>
      <c r="N118" s="15"/>
      <c r="O118" s="15"/>
    </row>
    <row r="119" spans="1:15" x14ac:dyDescent="0.35">
      <c r="B119" s="134" t="s">
        <v>362</v>
      </c>
      <c r="C119" s="4" t="s">
        <v>377</v>
      </c>
      <c r="D119" s="4"/>
      <c r="E119" s="4"/>
      <c r="F119" s="4"/>
      <c r="G119" s="1">
        <v>73</v>
      </c>
      <c r="H119" s="171" t="s">
        <v>384</v>
      </c>
      <c r="I119" s="15"/>
      <c r="J119" s="15"/>
      <c r="K119" s="15"/>
      <c r="L119" s="15"/>
      <c r="M119" s="15"/>
      <c r="N119" s="15"/>
      <c r="O119" s="15"/>
    </row>
    <row r="120" spans="1:15" x14ac:dyDescent="0.35">
      <c r="B120" s="134" t="s">
        <v>362</v>
      </c>
      <c r="C120" s="4" t="s">
        <v>371</v>
      </c>
      <c r="D120" s="4"/>
      <c r="E120" s="4"/>
      <c r="F120" s="4"/>
      <c r="G120" s="1">
        <f>+G119+1</f>
        <v>74</v>
      </c>
      <c r="H120" s="171" t="s">
        <v>383</v>
      </c>
      <c r="I120" s="15"/>
      <c r="J120" s="15"/>
      <c r="K120" s="15"/>
      <c r="L120" s="15"/>
      <c r="M120" s="15"/>
      <c r="N120" s="15"/>
      <c r="O120" s="15"/>
    </row>
    <row r="121" spans="1:15" x14ac:dyDescent="0.35">
      <c r="B121" s="134"/>
      <c r="D121" s="4"/>
      <c r="E121" s="4"/>
      <c r="F121" s="4"/>
      <c r="H121" s="15"/>
      <c r="I121" s="15"/>
      <c r="J121" s="15"/>
      <c r="K121" s="15"/>
      <c r="L121" s="15"/>
      <c r="M121" s="15"/>
      <c r="N121" s="15"/>
      <c r="O121" s="15"/>
    </row>
    <row r="122" spans="1:15" x14ac:dyDescent="0.35">
      <c r="B122" s="133"/>
      <c r="C122" s="4"/>
      <c r="D122" s="4"/>
      <c r="E122" s="4"/>
      <c r="F122" s="4"/>
      <c r="H122" s="15"/>
      <c r="I122" s="15"/>
      <c r="J122" s="15"/>
      <c r="K122" s="15"/>
      <c r="L122" s="15"/>
      <c r="M122" s="15"/>
      <c r="N122" s="15"/>
      <c r="O122" s="15"/>
    </row>
    <row r="123" spans="1:15" ht="26" x14ac:dyDescent="0.35">
      <c r="A123" s="62" t="s">
        <v>400</v>
      </c>
      <c r="B123" s="62"/>
      <c r="C123" s="62"/>
      <c r="D123" s="62"/>
      <c r="E123" s="62"/>
      <c r="F123" s="62"/>
      <c r="H123" s="15"/>
      <c r="I123" s="15"/>
      <c r="J123" s="15"/>
      <c r="K123" s="15"/>
      <c r="L123" s="15"/>
      <c r="M123" s="15"/>
      <c r="N123" s="15"/>
      <c r="O123" s="15"/>
    </row>
    <row r="124" spans="1:15" x14ac:dyDescent="0.35">
      <c r="B124" s="134" t="s">
        <v>362</v>
      </c>
      <c r="C124" s="4" t="s">
        <v>401</v>
      </c>
      <c r="D124" s="4"/>
      <c r="E124" s="4"/>
      <c r="F124" s="4"/>
      <c r="G124" s="1">
        <f>+G120+1</f>
        <v>75</v>
      </c>
      <c r="H124" s="15"/>
      <c r="I124" s="15"/>
      <c r="J124" s="15"/>
      <c r="K124" s="15"/>
      <c r="L124" s="15"/>
      <c r="M124" s="15"/>
      <c r="N124" s="15"/>
      <c r="O124" s="15"/>
    </row>
    <row r="125" spans="1:15" x14ac:dyDescent="0.35">
      <c r="B125" s="134" t="s">
        <v>362</v>
      </c>
      <c r="C125" s="4" t="s">
        <v>403</v>
      </c>
      <c r="D125" s="4"/>
      <c r="E125" s="4"/>
      <c r="F125" s="4"/>
      <c r="G125" s="1">
        <f>+G124+1</f>
        <v>76</v>
      </c>
      <c r="H125" s="15"/>
      <c r="I125" s="15"/>
      <c r="J125" s="15"/>
      <c r="K125" s="15"/>
      <c r="L125" s="15"/>
      <c r="M125" s="15"/>
      <c r="N125" s="15"/>
      <c r="O125" s="15"/>
    </row>
    <row r="126" spans="1:15" x14ac:dyDescent="0.35">
      <c r="B126" s="134" t="s">
        <v>362</v>
      </c>
      <c r="C126" s="4" t="s">
        <v>402</v>
      </c>
      <c r="D126" s="4"/>
      <c r="E126" s="4"/>
      <c r="F126" s="4"/>
      <c r="G126" s="1">
        <f t="shared" ref="G126:G127" si="7">+G125+1</f>
        <v>77</v>
      </c>
      <c r="H126" s="15"/>
      <c r="I126" s="15"/>
      <c r="J126" s="15"/>
      <c r="K126" s="15"/>
      <c r="L126" s="15"/>
      <c r="M126" s="15"/>
      <c r="N126" s="15"/>
      <c r="O126" s="15"/>
    </row>
    <row r="127" spans="1:15" x14ac:dyDescent="0.35">
      <c r="B127" s="134" t="s">
        <v>362</v>
      </c>
      <c r="C127" s="4" t="s">
        <v>404</v>
      </c>
      <c r="D127" s="4"/>
      <c r="E127" s="4"/>
      <c r="F127" s="4"/>
      <c r="G127" s="1">
        <f t="shared" si="7"/>
        <v>78</v>
      </c>
      <c r="H127" s="15"/>
      <c r="I127" s="15"/>
      <c r="J127" s="15"/>
      <c r="K127" s="15"/>
      <c r="L127" s="15"/>
      <c r="M127" s="15"/>
      <c r="N127" s="15"/>
      <c r="O127" s="15"/>
    </row>
    <row r="128" spans="1:15" x14ac:dyDescent="0.35">
      <c r="B128" s="134" t="s">
        <v>362</v>
      </c>
      <c r="C128" s="4"/>
      <c r="D128" s="4"/>
      <c r="E128" s="4"/>
      <c r="F128" s="4"/>
      <c r="H128" s="15"/>
      <c r="I128" s="15"/>
      <c r="J128" s="15"/>
      <c r="K128" s="15"/>
      <c r="L128" s="15"/>
      <c r="M128" s="15"/>
      <c r="N128" s="15"/>
      <c r="O128" s="15"/>
    </row>
    <row r="129" spans="1:15" x14ac:dyDescent="0.35">
      <c r="B129" s="133"/>
      <c r="C129" s="4"/>
      <c r="D129" s="4"/>
      <c r="E129" s="4"/>
      <c r="F129" s="4"/>
      <c r="H129" s="15"/>
      <c r="I129" s="15"/>
      <c r="J129" s="15"/>
      <c r="K129" s="15"/>
      <c r="L129" s="15"/>
      <c r="M129" s="15"/>
      <c r="N129" s="15"/>
      <c r="O129" s="15"/>
    </row>
    <row r="130" spans="1:15" x14ac:dyDescent="0.35">
      <c r="B130" s="133"/>
      <c r="C130" s="4"/>
      <c r="D130" s="4"/>
      <c r="E130" s="4"/>
      <c r="F130" s="4"/>
      <c r="H130" s="15"/>
      <c r="I130" s="15"/>
      <c r="J130" s="15"/>
      <c r="K130" s="15"/>
      <c r="L130" s="15"/>
      <c r="M130" s="15"/>
      <c r="N130" s="15"/>
      <c r="O130" s="15"/>
    </row>
    <row r="131" spans="1:15" x14ac:dyDescent="0.35">
      <c r="B131" s="133"/>
      <c r="C131" s="4"/>
      <c r="D131" s="4"/>
      <c r="E131" s="4"/>
      <c r="F131" s="4"/>
      <c r="H131" s="15"/>
      <c r="I131" s="15"/>
      <c r="J131" s="15"/>
      <c r="K131" s="15"/>
      <c r="L131" s="15"/>
      <c r="M131" s="15"/>
      <c r="N131" s="15"/>
      <c r="O131" s="15"/>
    </row>
    <row r="132" spans="1:15" x14ac:dyDescent="0.35">
      <c r="B132" s="133"/>
      <c r="C132" s="4"/>
      <c r="D132" s="4"/>
      <c r="E132" s="4"/>
      <c r="F132" s="4"/>
      <c r="H132" s="15"/>
      <c r="I132" s="15"/>
      <c r="J132" s="15"/>
      <c r="K132" s="15"/>
      <c r="L132" s="15"/>
      <c r="M132" s="15"/>
      <c r="N132" s="15"/>
      <c r="O132" s="15"/>
    </row>
    <row r="133" spans="1:15" ht="26" x14ac:dyDescent="0.35">
      <c r="A133" s="62" t="s">
        <v>400</v>
      </c>
      <c r="B133" s="62"/>
      <c r="C133" s="62"/>
      <c r="D133" s="62"/>
      <c r="E133" s="62"/>
      <c r="F133" s="62"/>
      <c r="H133" s="15"/>
      <c r="I133" s="15"/>
      <c r="J133" s="15"/>
      <c r="K133" s="15"/>
      <c r="L133" s="15"/>
      <c r="M133" s="15"/>
      <c r="N133" s="15"/>
      <c r="O133" s="15"/>
    </row>
    <row r="134" spans="1:15" x14ac:dyDescent="0.35">
      <c r="B134" s="134" t="s">
        <v>362</v>
      </c>
      <c r="C134" s="4"/>
      <c r="D134" s="4"/>
      <c r="E134" s="4"/>
      <c r="F134" s="4"/>
      <c r="H134" s="15"/>
      <c r="I134" s="15"/>
      <c r="J134" s="15"/>
      <c r="K134" s="15"/>
      <c r="L134" s="15"/>
      <c r="M134" s="15"/>
      <c r="N134" s="15"/>
      <c r="O134" s="15"/>
    </row>
    <row r="135" spans="1:15" x14ac:dyDescent="0.35">
      <c r="B135" s="134" t="s">
        <v>362</v>
      </c>
      <c r="C135" s="4"/>
      <c r="D135" s="4"/>
      <c r="E135" s="4"/>
      <c r="F135" s="4"/>
      <c r="H135" s="15"/>
      <c r="I135" s="15"/>
      <c r="J135" s="15"/>
      <c r="K135" s="15"/>
      <c r="L135" s="15"/>
      <c r="M135" s="15"/>
      <c r="N135" s="15"/>
      <c r="O135" s="15"/>
    </row>
    <row r="136" spans="1:15" x14ac:dyDescent="0.35">
      <c r="B136" s="133"/>
      <c r="C136" s="4"/>
      <c r="D136" s="4"/>
      <c r="E136" s="4"/>
      <c r="F136" s="4"/>
      <c r="H136" s="15"/>
      <c r="I136" s="15"/>
      <c r="J136" s="15"/>
      <c r="K136" s="15"/>
      <c r="L136" s="15"/>
      <c r="M136" s="15"/>
      <c r="N136" s="15"/>
      <c r="O136" s="15"/>
    </row>
    <row r="137" spans="1:15" x14ac:dyDescent="0.35">
      <c r="B137" s="133"/>
      <c r="C137" s="4"/>
      <c r="D137" s="4"/>
      <c r="E137" s="4"/>
      <c r="F137" s="4"/>
      <c r="H137" s="15"/>
      <c r="I137" s="15"/>
      <c r="J137" s="15"/>
      <c r="K137" s="15"/>
      <c r="L137" s="15"/>
      <c r="M137" s="15"/>
      <c r="N137" s="15"/>
      <c r="O137" s="15"/>
    </row>
    <row r="138" spans="1:15" x14ac:dyDescent="0.35">
      <c r="B138" s="133"/>
      <c r="C138" s="4"/>
      <c r="D138" s="4"/>
      <c r="E138" s="4"/>
      <c r="F138" s="4"/>
      <c r="H138" s="15"/>
      <c r="I138" s="15"/>
      <c r="J138" s="15"/>
      <c r="K138" s="15"/>
      <c r="L138" s="15"/>
      <c r="M138" s="15"/>
      <c r="N138" s="15"/>
      <c r="O138" s="15"/>
    </row>
    <row r="139" spans="1:15" x14ac:dyDescent="0.35">
      <c r="B139" s="133"/>
      <c r="C139" s="4"/>
      <c r="D139" s="4"/>
      <c r="E139" s="4"/>
      <c r="F139" s="4"/>
      <c r="H139" s="15"/>
      <c r="I139" s="15"/>
      <c r="J139" s="15"/>
      <c r="K139" s="15"/>
      <c r="L139" s="15"/>
      <c r="M139" s="15"/>
      <c r="N139" s="15"/>
      <c r="O139" s="15"/>
    </row>
    <row r="140" spans="1:15" x14ac:dyDescent="0.35">
      <c r="B140" s="133"/>
      <c r="C140" s="4"/>
      <c r="D140" s="4"/>
      <c r="E140" s="4"/>
      <c r="F140" s="4"/>
      <c r="H140" s="15"/>
      <c r="I140" s="15"/>
      <c r="J140" s="15"/>
      <c r="K140" s="15"/>
      <c r="L140" s="15"/>
      <c r="M140" s="15"/>
      <c r="N140" s="15"/>
      <c r="O140" s="15"/>
    </row>
    <row r="141" spans="1:15" x14ac:dyDescent="0.35">
      <c r="B141" s="133"/>
      <c r="C141" s="4"/>
      <c r="D141" s="4"/>
      <c r="E141" s="4"/>
      <c r="F141" s="4"/>
      <c r="H141" s="15"/>
      <c r="I141" s="15"/>
      <c r="J141" s="15"/>
      <c r="K141" s="15"/>
      <c r="L141" s="15"/>
      <c r="M141" s="15"/>
      <c r="N141" s="15"/>
      <c r="O141" s="15"/>
    </row>
    <row r="142" spans="1:15" x14ac:dyDescent="0.35">
      <c r="B142" s="133"/>
      <c r="C142" s="4"/>
      <c r="D142" s="4"/>
      <c r="E142" s="4"/>
      <c r="F142" s="4"/>
      <c r="H142" s="15"/>
      <c r="I142" s="15"/>
      <c r="J142" s="15"/>
      <c r="K142" s="15"/>
      <c r="L142" s="15"/>
      <c r="M142" s="15"/>
      <c r="N142" s="15"/>
      <c r="O142" s="15"/>
    </row>
    <row r="143" spans="1:15" x14ac:dyDescent="0.35">
      <c r="B143" s="133"/>
      <c r="C143" s="4"/>
      <c r="D143" s="4"/>
      <c r="E143" s="4"/>
      <c r="F143" s="4"/>
      <c r="H143" s="15"/>
      <c r="I143" s="15"/>
      <c r="J143" s="15"/>
      <c r="K143" s="15"/>
      <c r="L143" s="15"/>
      <c r="M143" s="15"/>
      <c r="N143" s="15"/>
      <c r="O143" s="15"/>
    </row>
    <row r="144" spans="1:15" x14ac:dyDescent="0.35">
      <c r="B144" s="133"/>
      <c r="C144" s="4"/>
      <c r="D144" s="4"/>
      <c r="E144" s="4"/>
      <c r="F144" s="4"/>
      <c r="H144" s="15"/>
      <c r="I144" s="15"/>
      <c r="J144" s="15"/>
      <c r="K144" s="15"/>
      <c r="L144" s="15"/>
      <c r="M144" s="15"/>
      <c r="N144" s="15"/>
      <c r="O144" s="15"/>
    </row>
    <row r="145" spans="1:15" x14ac:dyDescent="0.35">
      <c r="B145" s="133"/>
      <c r="C145" s="4"/>
      <c r="D145" s="4"/>
      <c r="E145" s="4"/>
      <c r="F145" s="4"/>
      <c r="H145" s="15"/>
      <c r="I145" s="15"/>
      <c r="J145" s="15"/>
      <c r="K145" s="15"/>
      <c r="L145" s="15"/>
      <c r="M145" s="15"/>
      <c r="N145" s="15"/>
      <c r="O145" s="15"/>
    </row>
    <row r="146" spans="1:15" x14ac:dyDescent="0.35">
      <c r="A146" s="137"/>
      <c r="B146" s="133"/>
      <c r="C146" s="4"/>
      <c r="D146" s="4"/>
      <c r="E146" s="4"/>
      <c r="F146" s="4"/>
      <c r="G146" s="133"/>
      <c r="H146" s="4"/>
      <c r="I146" s="4"/>
      <c r="J146" s="4"/>
      <c r="K146" s="4"/>
      <c r="L146" s="4"/>
      <c r="M146" s="4"/>
      <c r="N146" s="4"/>
      <c r="O146" s="4"/>
    </row>
    <row r="147" spans="1:15" ht="26" x14ac:dyDescent="0.35">
      <c r="A147" s="62" t="s">
        <v>8</v>
      </c>
      <c r="B147" s="62"/>
      <c r="C147" s="62"/>
      <c r="D147" s="62"/>
      <c r="E147" s="62"/>
      <c r="F147" s="62"/>
    </row>
    <row r="148" spans="1:15" x14ac:dyDescent="0.35">
      <c r="A148" s="9" t="e">
        <f>+#REF!+1</f>
        <v>#REF!</v>
      </c>
      <c r="B148" s="152" t="s">
        <v>9</v>
      </c>
      <c r="E148" s="7" t="s">
        <v>140</v>
      </c>
      <c r="F148" s="7"/>
      <c r="G148" s="1" t="e">
        <f>+#REF!+1</f>
        <v>#REF!</v>
      </c>
    </row>
    <row r="149" spans="1:15" x14ac:dyDescent="0.35">
      <c r="B149" s="1" t="s">
        <v>0</v>
      </c>
      <c r="C149" t="s">
        <v>2</v>
      </c>
      <c r="G149" s="1" t="e">
        <f>+G148+1</f>
        <v>#REF!</v>
      </c>
    </row>
    <row r="150" spans="1:15" x14ac:dyDescent="0.35">
      <c r="B150" s="1" t="s">
        <v>1</v>
      </c>
      <c r="C150" t="s">
        <v>3</v>
      </c>
      <c r="E150" t="s">
        <v>136</v>
      </c>
      <c r="G150" s="1" t="e">
        <f t="shared" ref="G150:G170" si="8">+G149+1</f>
        <v>#REF!</v>
      </c>
    </row>
    <row r="151" spans="1:15" x14ac:dyDescent="0.35">
      <c r="B151" s="1" t="s">
        <v>4</v>
      </c>
      <c r="C151" t="s">
        <v>6</v>
      </c>
      <c r="G151" s="1" t="e">
        <f t="shared" si="8"/>
        <v>#REF!</v>
      </c>
    </row>
    <row r="152" spans="1:15" x14ac:dyDescent="0.35">
      <c r="B152" s="1" t="s">
        <v>5</v>
      </c>
      <c r="C152" t="s">
        <v>7</v>
      </c>
      <c r="G152" s="1" t="e">
        <f t="shared" si="8"/>
        <v>#REF!</v>
      </c>
    </row>
    <row r="153" spans="1:15" x14ac:dyDescent="0.35">
      <c r="A153" s="9" t="e">
        <f>+A148+1</f>
        <v>#REF!</v>
      </c>
      <c r="B153" s="152" t="s">
        <v>9</v>
      </c>
      <c r="E153" s="7" t="s">
        <v>140</v>
      </c>
      <c r="F153" s="7"/>
      <c r="G153" s="1" t="e">
        <f t="shared" si="8"/>
        <v>#REF!</v>
      </c>
    </row>
    <row r="154" spans="1:15" x14ac:dyDescent="0.35">
      <c r="B154" s="1" t="s">
        <v>0</v>
      </c>
      <c r="C154" s="3" t="s">
        <v>10</v>
      </c>
      <c r="D154" s="3"/>
      <c r="G154" s="1" t="e">
        <f t="shared" si="8"/>
        <v>#REF!</v>
      </c>
    </row>
    <row r="155" spans="1:15" x14ac:dyDescent="0.35">
      <c r="B155" s="1" t="s">
        <v>1</v>
      </c>
      <c r="C155" s="3" t="s">
        <v>11</v>
      </c>
      <c r="D155" s="3"/>
      <c r="G155" s="1" t="e">
        <f t="shared" si="8"/>
        <v>#REF!</v>
      </c>
    </row>
    <row r="156" spans="1:15" x14ac:dyDescent="0.35">
      <c r="B156" s="1" t="s">
        <v>4</v>
      </c>
      <c r="C156" t="s">
        <v>12</v>
      </c>
      <c r="G156" s="1" t="e">
        <f t="shared" si="8"/>
        <v>#REF!</v>
      </c>
    </row>
    <row r="157" spans="1:15" x14ac:dyDescent="0.35">
      <c r="C157" t="s">
        <v>14</v>
      </c>
      <c r="G157" s="1" t="e">
        <f t="shared" si="8"/>
        <v>#REF!</v>
      </c>
    </row>
    <row r="158" spans="1:15" x14ac:dyDescent="0.35">
      <c r="B158" s="1"/>
      <c r="C158" t="s">
        <v>15</v>
      </c>
      <c r="G158" s="1" t="e">
        <f t="shared" si="8"/>
        <v>#REF!</v>
      </c>
    </row>
    <row r="159" spans="1:15" x14ac:dyDescent="0.35">
      <c r="B159" s="1"/>
      <c r="C159" t="s">
        <v>16</v>
      </c>
      <c r="G159" s="1" t="e">
        <f t="shared" si="8"/>
        <v>#REF!</v>
      </c>
    </row>
    <row r="160" spans="1:15" x14ac:dyDescent="0.35">
      <c r="B160" s="1"/>
      <c r="C160" t="s">
        <v>19</v>
      </c>
      <c r="F160" s="2"/>
      <c r="G160" s="1" t="e">
        <f t="shared" si="8"/>
        <v>#REF!</v>
      </c>
    </row>
    <row r="161" spans="2:7" x14ac:dyDescent="0.35">
      <c r="B161" s="1" t="s">
        <v>5</v>
      </c>
      <c r="C161" s="3" t="s">
        <v>141</v>
      </c>
      <c r="D161" s="3"/>
      <c r="G161" s="1" t="e">
        <f t="shared" si="8"/>
        <v>#REF!</v>
      </c>
    </row>
    <row r="162" spans="2:7" x14ac:dyDescent="0.35">
      <c r="C162" t="s">
        <v>20</v>
      </c>
      <c r="G162" s="1" t="e">
        <f t="shared" si="8"/>
        <v>#REF!</v>
      </c>
    </row>
    <row r="163" spans="2:7" x14ac:dyDescent="0.35">
      <c r="B163" s="1"/>
      <c r="C163" t="s">
        <v>21</v>
      </c>
      <c r="G163" s="1" t="e">
        <f t="shared" si="8"/>
        <v>#REF!</v>
      </c>
    </row>
    <row r="164" spans="2:7" x14ac:dyDescent="0.35">
      <c r="B164" s="1"/>
      <c r="C164" t="s">
        <v>22</v>
      </c>
      <c r="G164" s="1" t="e">
        <f t="shared" si="8"/>
        <v>#REF!</v>
      </c>
    </row>
    <row r="165" spans="2:7" x14ac:dyDescent="0.35">
      <c r="B165" s="1"/>
      <c r="C165" t="s">
        <v>23</v>
      </c>
      <c r="G165" s="1" t="e">
        <f t="shared" si="8"/>
        <v>#REF!</v>
      </c>
    </row>
    <row r="166" spans="2:7" x14ac:dyDescent="0.35">
      <c r="B166" s="1" t="s">
        <v>17</v>
      </c>
      <c r="C166" s="3" t="s">
        <v>24</v>
      </c>
      <c r="D166" s="3"/>
      <c r="G166" s="1" t="e">
        <f t="shared" si="8"/>
        <v>#REF!</v>
      </c>
    </row>
    <row r="167" spans="2:7" x14ac:dyDescent="0.35">
      <c r="B167" s="1" t="s">
        <v>0</v>
      </c>
      <c r="C167" s="4" t="s">
        <v>2</v>
      </c>
      <c r="E167" t="s">
        <v>25</v>
      </c>
      <c r="G167" s="1" t="e">
        <f t="shared" si="8"/>
        <v>#REF!</v>
      </c>
    </row>
    <row r="168" spans="2:7" x14ac:dyDescent="0.35">
      <c r="B168" s="1" t="s">
        <v>1</v>
      </c>
      <c r="C168" t="s">
        <v>3</v>
      </c>
      <c r="E168" t="s">
        <v>25</v>
      </c>
      <c r="G168" s="1" t="e">
        <f t="shared" si="8"/>
        <v>#REF!</v>
      </c>
    </row>
    <row r="169" spans="2:7" x14ac:dyDescent="0.35">
      <c r="B169" s="1" t="s">
        <v>4</v>
      </c>
      <c r="C169" t="s">
        <v>6</v>
      </c>
      <c r="E169" t="s">
        <v>25</v>
      </c>
      <c r="G169" s="1" t="e">
        <f t="shared" si="8"/>
        <v>#REF!</v>
      </c>
    </row>
    <row r="170" spans="2:7" x14ac:dyDescent="0.35">
      <c r="B170" s="1" t="s">
        <v>5</v>
      </c>
      <c r="C170" t="s">
        <v>7</v>
      </c>
      <c r="E170" t="s">
        <v>25</v>
      </c>
      <c r="G170" s="1" t="e">
        <f t="shared" si="8"/>
        <v>#REF!</v>
      </c>
    </row>
    <row r="171" spans="2:7" x14ac:dyDescent="0.35">
      <c r="C171" t="s">
        <v>26</v>
      </c>
      <c r="G171" s="1" t="e">
        <f t="shared" ref="G171:G196" si="9">+G170+1</f>
        <v>#REF!</v>
      </c>
    </row>
    <row r="172" spans="2:7" x14ac:dyDescent="0.35">
      <c r="B172" s="1" t="s">
        <v>18</v>
      </c>
      <c r="C172" s="3" t="s">
        <v>13</v>
      </c>
    </row>
    <row r="173" spans="2:7" x14ac:dyDescent="0.35">
      <c r="C173" s="4" t="s">
        <v>2</v>
      </c>
    </row>
    <row r="174" spans="2:7" x14ac:dyDescent="0.35">
      <c r="C174" t="s">
        <v>3</v>
      </c>
    </row>
    <row r="175" spans="2:7" x14ac:dyDescent="0.35">
      <c r="C175" t="s">
        <v>6</v>
      </c>
    </row>
    <row r="176" spans="2:7" x14ac:dyDescent="0.35">
      <c r="C176" t="s">
        <v>7</v>
      </c>
    </row>
    <row r="180" spans="1:7" ht="26" x14ac:dyDescent="0.35">
      <c r="A180" s="59" t="s">
        <v>27</v>
      </c>
      <c r="B180" s="60"/>
      <c r="C180" s="60"/>
      <c r="D180" s="60"/>
      <c r="E180" s="61"/>
      <c r="F180" s="5"/>
    </row>
    <row r="181" spans="1:7" x14ac:dyDescent="0.35">
      <c r="A181" s="9" t="e">
        <f>+A153+1</f>
        <v>#REF!</v>
      </c>
      <c r="B181" s="153" t="s">
        <v>28</v>
      </c>
      <c r="C181" s="3"/>
      <c r="G181" s="1" t="e">
        <f>+G171+1</f>
        <v>#REF!</v>
      </c>
    </row>
    <row r="182" spans="1:7" x14ac:dyDescent="0.35">
      <c r="B182" s="1" t="s">
        <v>0</v>
      </c>
      <c r="C182" s="4" t="s">
        <v>2</v>
      </c>
      <c r="D182" t="s">
        <v>29</v>
      </c>
      <c r="G182" s="1" t="e">
        <f t="shared" si="9"/>
        <v>#REF!</v>
      </c>
    </row>
    <row r="183" spans="1:7" x14ac:dyDescent="0.35">
      <c r="B183" s="1" t="s">
        <v>1</v>
      </c>
      <c r="C183" t="s">
        <v>3</v>
      </c>
      <c r="D183" t="s">
        <v>30</v>
      </c>
      <c r="G183" s="1" t="e">
        <f t="shared" si="9"/>
        <v>#REF!</v>
      </c>
    </row>
    <row r="184" spans="1:7" x14ac:dyDescent="0.35">
      <c r="B184" s="1" t="s">
        <v>4</v>
      </c>
      <c r="C184" t="s">
        <v>6</v>
      </c>
      <c r="D184" t="s">
        <v>31</v>
      </c>
      <c r="G184" s="1" t="e">
        <f t="shared" si="9"/>
        <v>#REF!</v>
      </c>
    </row>
    <row r="185" spans="1:7" x14ac:dyDescent="0.35">
      <c r="B185" s="1" t="s">
        <v>5</v>
      </c>
      <c r="C185" t="s">
        <v>7</v>
      </c>
      <c r="D185" t="s">
        <v>32</v>
      </c>
      <c r="G185" s="1" t="e">
        <f t="shared" si="9"/>
        <v>#REF!</v>
      </c>
    </row>
    <row r="186" spans="1:7" x14ac:dyDescent="0.35">
      <c r="A186" s="9" t="e">
        <f>+A181+1</f>
        <v>#REF!</v>
      </c>
      <c r="B186" s="140" t="s">
        <v>33</v>
      </c>
      <c r="C186" s="3"/>
      <c r="D186" t="s">
        <v>34</v>
      </c>
      <c r="G186" s="1" t="e">
        <f t="shared" si="9"/>
        <v>#REF!</v>
      </c>
    </row>
    <row r="187" spans="1:7" x14ac:dyDescent="0.35">
      <c r="D187" t="s">
        <v>35</v>
      </c>
    </row>
    <row r="188" spans="1:7" x14ac:dyDescent="0.35">
      <c r="A188" s="9" t="e">
        <f>+A186+1</f>
        <v>#REF!</v>
      </c>
      <c r="B188" s="140" t="s">
        <v>36</v>
      </c>
      <c r="C188" s="3"/>
    </row>
    <row r="189" spans="1:7" x14ac:dyDescent="0.35">
      <c r="B189" s="1" t="s">
        <v>0</v>
      </c>
      <c r="C189" t="s">
        <v>37</v>
      </c>
      <c r="D189" t="s">
        <v>39</v>
      </c>
      <c r="G189" s="1" t="e">
        <f>+G186+1</f>
        <v>#REF!</v>
      </c>
    </row>
    <row r="190" spans="1:7" x14ac:dyDescent="0.35">
      <c r="B190" s="1" t="s">
        <v>1</v>
      </c>
      <c r="C190" t="s">
        <v>38</v>
      </c>
      <c r="D190" t="s">
        <v>39</v>
      </c>
      <c r="G190" s="1" t="e">
        <f>+G189+1</f>
        <v>#REF!</v>
      </c>
    </row>
    <row r="191" spans="1:7" x14ac:dyDescent="0.35">
      <c r="B191" s="1" t="s">
        <v>4</v>
      </c>
      <c r="C191" t="s">
        <v>40</v>
      </c>
      <c r="G191" s="1" t="e">
        <f>+G190+1</f>
        <v>#REF!</v>
      </c>
    </row>
    <row r="192" spans="1:7" x14ac:dyDescent="0.35">
      <c r="A192" s="9" t="e">
        <f>+A188+1</f>
        <v>#REF!</v>
      </c>
      <c r="B192" s="140" t="s">
        <v>41</v>
      </c>
      <c r="C192" s="3"/>
    </row>
    <row r="193" spans="1:7" x14ac:dyDescent="0.35">
      <c r="C193" t="s">
        <v>42</v>
      </c>
      <c r="G193" s="1" t="e">
        <f>+G191+1</f>
        <v>#REF!</v>
      </c>
    </row>
    <row r="194" spans="1:7" x14ac:dyDescent="0.35">
      <c r="C194" t="s">
        <v>44</v>
      </c>
      <c r="G194" s="1" t="e">
        <f t="shared" si="9"/>
        <v>#REF!</v>
      </c>
    </row>
    <row r="195" spans="1:7" x14ac:dyDescent="0.35">
      <c r="C195" t="s">
        <v>43</v>
      </c>
      <c r="G195" s="1" t="e">
        <f t="shared" si="9"/>
        <v>#REF!</v>
      </c>
    </row>
    <row r="196" spans="1:7" x14ac:dyDescent="0.35">
      <c r="C196" t="s">
        <v>45</v>
      </c>
      <c r="G196" s="1" t="e">
        <f t="shared" si="9"/>
        <v>#REF!</v>
      </c>
    </row>
    <row r="197" spans="1:7" ht="26" x14ac:dyDescent="0.35">
      <c r="A197" s="59" t="s">
        <v>46</v>
      </c>
      <c r="B197" s="60"/>
      <c r="C197" s="60"/>
      <c r="D197" s="60"/>
      <c r="E197" s="61"/>
    </row>
    <row r="198" spans="1:7" x14ac:dyDescent="0.35">
      <c r="A198" s="9" t="e">
        <f>+A192+1</f>
        <v>#REF!</v>
      </c>
      <c r="B198" s="154" t="s">
        <v>49</v>
      </c>
      <c r="C198" s="7"/>
      <c r="D198" s="7"/>
      <c r="E198" s="7"/>
      <c r="F198" s="7"/>
      <c r="G198" s="1" t="e">
        <f>+G196+1</f>
        <v>#REF!</v>
      </c>
    </row>
    <row r="199" spans="1:7" x14ac:dyDescent="0.35">
      <c r="B199" s="1" t="s">
        <v>0</v>
      </c>
      <c r="C199" s="4" t="s">
        <v>2</v>
      </c>
      <c r="D199" t="s">
        <v>64</v>
      </c>
      <c r="G199" s="1" t="e">
        <f>+G198+1</f>
        <v>#REF!</v>
      </c>
    </row>
    <row r="200" spans="1:7" x14ac:dyDescent="0.35">
      <c r="B200" s="1" t="s">
        <v>1</v>
      </c>
      <c r="C200" t="s">
        <v>3</v>
      </c>
      <c r="G200" s="1" t="e">
        <f t="shared" ref="G200:G212" si="10">+G199+1</f>
        <v>#REF!</v>
      </c>
    </row>
    <row r="201" spans="1:7" x14ac:dyDescent="0.35">
      <c r="B201" s="1" t="s">
        <v>4</v>
      </c>
      <c r="C201" t="s">
        <v>6</v>
      </c>
      <c r="G201" s="1" t="e">
        <f t="shared" si="10"/>
        <v>#REF!</v>
      </c>
    </row>
    <row r="202" spans="1:7" x14ac:dyDescent="0.35">
      <c r="B202" s="1" t="s">
        <v>5</v>
      </c>
      <c r="C202" t="s">
        <v>7</v>
      </c>
      <c r="G202" s="1" t="e">
        <f t="shared" si="10"/>
        <v>#REF!</v>
      </c>
    </row>
    <row r="203" spans="1:7" x14ac:dyDescent="0.35">
      <c r="A203" s="9">
        <v>13</v>
      </c>
      <c r="B203" s="154" t="s">
        <v>48</v>
      </c>
      <c r="C203" s="7"/>
      <c r="D203" s="7"/>
      <c r="E203" s="7"/>
      <c r="F203" s="7"/>
      <c r="G203" s="1" t="e">
        <f t="shared" si="10"/>
        <v>#REF!</v>
      </c>
    </row>
    <row r="204" spans="1:7" x14ac:dyDescent="0.35">
      <c r="B204" s="1" t="s">
        <v>0</v>
      </c>
      <c r="C204" s="4" t="s">
        <v>2</v>
      </c>
      <c r="D204" t="s">
        <v>64</v>
      </c>
      <c r="G204" s="1" t="e">
        <f t="shared" si="10"/>
        <v>#REF!</v>
      </c>
    </row>
    <row r="205" spans="1:7" x14ac:dyDescent="0.35">
      <c r="B205" s="1" t="s">
        <v>1</v>
      </c>
      <c r="C205" t="s">
        <v>3</v>
      </c>
      <c r="G205" s="1" t="e">
        <f t="shared" si="10"/>
        <v>#REF!</v>
      </c>
    </row>
    <row r="206" spans="1:7" x14ac:dyDescent="0.35">
      <c r="B206" s="1" t="s">
        <v>4</v>
      </c>
      <c r="C206" t="s">
        <v>6</v>
      </c>
      <c r="G206" s="1" t="e">
        <f t="shared" si="10"/>
        <v>#REF!</v>
      </c>
    </row>
    <row r="207" spans="1:7" x14ac:dyDescent="0.35">
      <c r="B207" s="1" t="s">
        <v>5</v>
      </c>
      <c r="C207" t="s">
        <v>7</v>
      </c>
      <c r="G207" s="1" t="e">
        <f t="shared" si="10"/>
        <v>#REF!</v>
      </c>
    </row>
    <row r="208" spans="1:7" x14ac:dyDescent="0.35">
      <c r="A208" s="9">
        <v>14</v>
      </c>
      <c r="B208" s="36" t="s">
        <v>47</v>
      </c>
      <c r="C208" s="7"/>
      <c r="D208" s="7"/>
      <c r="E208" s="7"/>
      <c r="F208" s="7"/>
      <c r="G208" s="1" t="e">
        <f t="shared" si="10"/>
        <v>#REF!</v>
      </c>
    </row>
    <row r="209" spans="1:7" x14ac:dyDescent="0.35">
      <c r="B209" s="1" t="s">
        <v>0</v>
      </c>
      <c r="C209" s="4" t="s">
        <v>2</v>
      </c>
      <c r="D209" t="s">
        <v>64</v>
      </c>
      <c r="G209" s="1" t="e">
        <f t="shared" si="10"/>
        <v>#REF!</v>
      </c>
    </row>
    <row r="210" spans="1:7" x14ac:dyDescent="0.35">
      <c r="B210" s="1" t="s">
        <v>1</v>
      </c>
      <c r="C210" t="s">
        <v>3</v>
      </c>
      <c r="G210" s="1" t="e">
        <f t="shared" si="10"/>
        <v>#REF!</v>
      </c>
    </row>
    <row r="211" spans="1:7" x14ac:dyDescent="0.35">
      <c r="B211" s="1" t="s">
        <v>4</v>
      </c>
      <c r="C211" t="s">
        <v>6</v>
      </c>
      <c r="G211" s="1" t="e">
        <f t="shared" si="10"/>
        <v>#REF!</v>
      </c>
    </row>
    <row r="212" spans="1:7" x14ac:dyDescent="0.35">
      <c r="B212" s="1" t="s">
        <v>5</v>
      </c>
      <c r="C212" t="s">
        <v>7</v>
      </c>
      <c r="G212" s="1" t="e">
        <f t="shared" si="10"/>
        <v>#REF!</v>
      </c>
    </row>
    <row r="213" spans="1:7" ht="26" x14ac:dyDescent="0.35">
      <c r="A213" s="59" t="s">
        <v>50</v>
      </c>
      <c r="B213" s="60"/>
      <c r="C213" s="60"/>
      <c r="D213" s="60"/>
      <c r="E213" s="61"/>
    </row>
    <row r="214" spans="1:7" x14ac:dyDescent="0.35">
      <c r="A214" s="9">
        <v>15</v>
      </c>
      <c r="B214" s="10" t="s">
        <v>52</v>
      </c>
      <c r="C214" s="6"/>
      <c r="D214" s="6"/>
      <c r="E214" s="6"/>
      <c r="F214" s="6"/>
      <c r="G214" s="1" t="e">
        <f>+G212+1</f>
        <v>#REF!</v>
      </c>
    </row>
    <row r="215" spans="1:7" x14ac:dyDescent="0.35">
      <c r="B215" s="1" t="s">
        <v>0</v>
      </c>
      <c r="C215" s="4" t="s">
        <v>2</v>
      </c>
      <c r="D215" t="s">
        <v>64</v>
      </c>
      <c r="G215" s="1" t="e">
        <f>+G214+1</f>
        <v>#REF!</v>
      </c>
    </row>
    <row r="216" spans="1:7" x14ac:dyDescent="0.35">
      <c r="B216" s="1" t="s">
        <v>1</v>
      </c>
      <c r="C216" t="s">
        <v>3</v>
      </c>
      <c r="G216" s="1" t="e">
        <f t="shared" ref="G216:G267" si="11">+G215+1</f>
        <v>#REF!</v>
      </c>
    </row>
    <row r="217" spans="1:7" x14ac:dyDescent="0.35">
      <c r="B217" s="1" t="s">
        <v>4</v>
      </c>
      <c r="C217" t="s">
        <v>6</v>
      </c>
      <c r="G217" s="1" t="e">
        <f t="shared" si="11"/>
        <v>#REF!</v>
      </c>
    </row>
    <row r="218" spans="1:7" x14ac:dyDescent="0.35">
      <c r="B218" s="1" t="s">
        <v>5</v>
      </c>
      <c r="C218" t="s">
        <v>7</v>
      </c>
      <c r="G218" s="1" t="e">
        <f t="shared" si="11"/>
        <v>#REF!</v>
      </c>
    </row>
    <row r="219" spans="1:7" x14ac:dyDescent="0.35">
      <c r="A219" s="9">
        <v>16</v>
      </c>
      <c r="B219" s="134" t="s">
        <v>51</v>
      </c>
      <c r="C219" s="6"/>
      <c r="D219" s="6"/>
      <c r="E219" s="6"/>
      <c r="F219" s="6"/>
      <c r="G219" s="1" t="e">
        <f t="shared" si="11"/>
        <v>#REF!</v>
      </c>
    </row>
    <row r="220" spans="1:7" x14ac:dyDescent="0.35">
      <c r="B220" s="1" t="s">
        <v>0</v>
      </c>
      <c r="C220" s="4" t="s">
        <v>2</v>
      </c>
      <c r="D220" t="s">
        <v>64</v>
      </c>
      <c r="G220" s="1" t="e">
        <f t="shared" si="11"/>
        <v>#REF!</v>
      </c>
    </row>
    <row r="221" spans="1:7" x14ac:dyDescent="0.35">
      <c r="B221" s="1" t="s">
        <v>1</v>
      </c>
      <c r="C221" t="s">
        <v>3</v>
      </c>
      <c r="G221" s="1" t="e">
        <f t="shared" si="11"/>
        <v>#REF!</v>
      </c>
    </row>
    <row r="222" spans="1:7" x14ac:dyDescent="0.35">
      <c r="B222" s="1" t="s">
        <v>4</v>
      </c>
      <c r="C222" t="s">
        <v>6</v>
      </c>
      <c r="G222" s="1" t="e">
        <f t="shared" si="11"/>
        <v>#REF!</v>
      </c>
    </row>
    <row r="223" spans="1:7" x14ac:dyDescent="0.35">
      <c r="B223" s="1" t="s">
        <v>5</v>
      </c>
      <c r="C223" t="s">
        <v>7</v>
      </c>
      <c r="G223" s="1" t="e">
        <f t="shared" si="11"/>
        <v>#REF!</v>
      </c>
    </row>
    <row r="224" spans="1:7" x14ac:dyDescent="0.35">
      <c r="A224" s="9">
        <v>17</v>
      </c>
      <c r="B224" s="134" t="s">
        <v>57</v>
      </c>
      <c r="C224" s="6"/>
      <c r="D224" s="6"/>
      <c r="E224" s="6"/>
      <c r="F224" s="6"/>
      <c r="G224" s="1" t="e">
        <f t="shared" si="11"/>
        <v>#REF!</v>
      </c>
    </row>
    <row r="225" spans="1:7" x14ac:dyDescent="0.35">
      <c r="B225" s="1" t="s">
        <v>0</v>
      </c>
      <c r="C225" s="4" t="s">
        <v>2</v>
      </c>
      <c r="D225" t="s">
        <v>64</v>
      </c>
      <c r="G225" s="1" t="e">
        <f t="shared" si="11"/>
        <v>#REF!</v>
      </c>
    </row>
    <row r="226" spans="1:7" x14ac:dyDescent="0.35">
      <c r="B226" s="1" t="s">
        <v>1</v>
      </c>
      <c r="C226" t="s">
        <v>3</v>
      </c>
      <c r="G226" s="1" t="e">
        <f t="shared" si="11"/>
        <v>#REF!</v>
      </c>
    </row>
    <row r="227" spans="1:7" x14ac:dyDescent="0.35">
      <c r="B227" s="1" t="s">
        <v>4</v>
      </c>
      <c r="C227" t="s">
        <v>6</v>
      </c>
      <c r="G227" s="1" t="e">
        <f t="shared" si="11"/>
        <v>#REF!</v>
      </c>
    </row>
    <row r="228" spans="1:7" x14ac:dyDescent="0.35">
      <c r="B228" s="1" t="s">
        <v>5</v>
      </c>
      <c r="C228" t="s">
        <v>7</v>
      </c>
      <c r="G228" s="1" t="e">
        <f t="shared" si="11"/>
        <v>#REF!</v>
      </c>
    </row>
    <row r="229" spans="1:7" x14ac:dyDescent="0.35">
      <c r="A229" s="9">
        <v>18</v>
      </c>
      <c r="B229" s="134" t="s">
        <v>56</v>
      </c>
      <c r="C229" s="6"/>
      <c r="D229" s="6"/>
      <c r="E229" s="6"/>
      <c r="F229" s="6"/>
      <c r="G229" s="1" t="e">
        <f t="shared" si="11"/>
        <v>#REF!</v>
      </c>
    </row>
    <row r="230" spans="1:7" x14ac:dyDescent="0.35">
      <c r="B230" s="1" t="s">
        <v>0</v>
      </c>
      <c r="C230" s="4" t="s">
        <v>2</v>
      </c>
      <c r="D230" t="s">
        <v>64</v>
      </c>
      <c r="G230" s="1" t="e">
        <f t="shared" si="11"/>
        <v>#REF!</v>
      </c>
    </row>
    <row r="231" spans="1:7" x14ac:dyDescent="0.35">
      <c r="B231" s="1" t="s">
        <v>1</v>
      </c>
      <c r="C231" t="s">
        <v>3</v>
      </c>
      <c r="G231" s="1" t="e">
        <f t="shared" si="11"/>
        <v>#REF!</v>
      </c>
    </row>
    <row r="232" spans="1:7" x14ac:dyDescent="0.35">
      <c r="B232" s="1" t="s">
        <v>4</v>
      </c>
      <c r="C232" t="s">
        <v>6</v>
      </c>
      <c r="G232" s="1" t="e">
        <f t="shared" si="11"/>
        <v>#REF!</v>
      </c>
    </row>
    <row r="233" spans="1:7" x14ac:dyDescent="0.35">
      <c r="B233" s="1" t="s">
        <v>5</v>
      </c>
      <c r="C233" t="s">
        <v>7</v>
      </c>
      <c r="G233" s="1" t="e">
        <f t="shared" si="11"/>
        <v>#REF!</v>
      </c>
    </row>
    <row r="234" spans="1:7" x14ac:dyDescent="0.35">
      <c r="A234" s="9">
        <v>19</v>
      </c>
      <c r="B234" s="134" t="s">
        <v>55</v>
      </c>
      <c r="C234" s="6"/>
      <c r="D234" s="6"/>
      <c r="E234" s="6"/>
      <c r="F234" s="6"/>
      <c r="G234" s="1" t="e">
        <f t="shared" si="11"/>
        <v>#REF!</v>
      </c>
    </row>
    <row r="235" spans="1:7" x14ac:dyDescent="0.35">
      <c r="B235" s="1" t="s">
        <v>0</v>
      </c>
      <c r="C235" s="4" t="s">
        <v>2</v>
      </c>
      <c r="D235" t="s">
        <v>64</v>
      </c>
      <c r="G235" s="1" t="e">
        <f t="shared" si="11"/>
        <v>#REF!</v>
      </c>
    </row>
    <row r="236" spans="1:7" x14ac:dyDescent="0.35">
      <c r="B236" s="1" t="s">
        <v>1</v>
      </c>
      <c r="C236" t="s">
        <v>3</v>
      </c>
      <c r="G236" s="1" t="e">
        <f t="shared" si="11"/>
        <v>#REF!</v>
      </c>
    </row>
    <row r="237" spans="1:7" x14ac:dyDescent="0.35">
      <c r="B237" s="1" t="s">
        <v>4</v>
      </c>
      <c r="C237" t="s">
        <v>6</v>
      </c>
      <c r="G237" s="1" t="e">
        <f t="shared" si="11"/>
        <v>#REF!</v>
      </c>
    </row>
    <row r="238" spans="1:7" x14ac:dyDescent="0.35">
      <c r="B238" s="1" t="s">
        <v>5</v>
      </c>
      <c r="C238" t="s">
        <v>7</v>
      </c>
      <c r="G238" s="1" t="e">
        <f t="shared" si="11"/>
        <v>#REF!</v>
      </c>
    </row>
    <row r="239" spans="1:7" x14ac:dyDescent="0.35">
      <c r="A239" s="9">
        <v>20</v>
      </c>
      <c r="B239" s="134" t="s">
        <v>53</v>
      </c>
      <c r="C239" s="6"/>
      <c r="D239" s="6"/>
      <c r="E239" s="6"/>
      <c r="F239" s="6"/>
      <c r="G239" s="1" t="e">
        <f t="shared" si="11"/>
        <v>#REF!</v>
      </c>
    </row>
    <row r="240" spans="1:7" x14ac:dyDescent="0.35">
      <c r="B240" s="1" t="s">
        <v>0</v>
      </c>
      <c r="C240" s="4" t="s">
        <v>2</v>
      </c>
      <c r="D240" t="s">
        <v>64</v>
      </c>
      <c r="G240" s="1" t="e">
        <f t="shared" si="11"/>
        <v>#REF!</v>
      </c>
    </row>
    <row r="241" spans="1:7" x14ac:dyDescent="0.35">
      <c r="B241" s="1" t="s">
        <v>1</v>
      </c>
      <c r="C241" t="s">
        <v>3</v>
      </c>
      <c r="G241" s="1" t="e">
        <f t="shared" si="11"/>
        <v>#REF!</v>
      </c>
    </row>
    <row r="242" spans="1:7" x14ac:dyDescent="0.35">
      <c r="B242" s="1" t="s">
        <v>4</v>
      </c>
      <c r="C242" t="s">
        <v>6</v>
      </c>
      <c r="G242" s="1" t="e">
        <f t="shared" si="11"/>
        <v>#REF!</v>
      </c>
    </row>
    <row r="243" spans="1:7" x14ac:dyDescent="0.35">
      <c r="B243" s="1" t="s">
        <v>5</v>
      </c>
      <c r="C243" t="s">
        <v>7</v>
      </c>
      <c r="G243" s="1" t="e">
        <f t="shared" si="11"/>
        <v>#REF!</v>
      </c>
    </row>
    <row r="244" spans="1:7" x14ac:dyDescent="0.35">
      <c r="A244" s="9">
        <v>21</v>
      </c>
      <c r="B244" s="134" t="s">
        <v>54</v>
      </c>
      <c r="C244" s="6"/>
      <c r="D244" s="6"/>
      <c r="E244" s="6"/>
      <c r="F244" s="6"/>
      <c r="G244" s="1" t="e">
        <f t="shared" si="11"/>
        <v>#REF!</v>
      </c>
    </row>
    <row r="245" spans="1:7" x14ac:dyDescent="0.35">
      <c r="B245" s="1" t="s">
        <v>0</v>
      </c>
      <c r="C245" s="4" t="s">
        <v>2</v>
      </c>
      <c r="D245" t="s">
        <v>64</v>
      </c>
      <c r="G245" s="1" t="e">
        <f t="shared" si="11"/>
        <v>#REF!</v>
      </c>
    </row>
    <row r="246" spans="1:7" x14ac:dyDescent="0.35">
      <c r="B246" s="1" t="s">
        <v>1</v>
      </c>
      <c r="C246" t="s">
        <v>3</v>
      </c>
      <c r="G246" s="1" t="e">
        <f t="shared" si="11"/>
        <v>#REF!</v>
      </c>
    </row>
    <row r="247" spans="1:7" x14ac:dyDescent="0.35">
      <c r="B247" s="1" t="s">
        <v>4</v>
      </c>
      <c r="C247" t="s">
        <v>6</v>
      </c>
      <c r="G247" s="1" t="e">
        <f t="shared" si="11"/>
        <v>#REF!</v>
      </c>
    </row>
    <row r="248" spans="1:7" x14ac:dyDescent="0.35">
      <c r="B248" s="1" t="s">
        <v>5</v>
      </c>
      <c r="C248" t="s">
        <v>7</v>
      </c>
      <c r="G248" s="1" t="e">
        <f t="shared" si="11"/>
        <v>#REF!</v>
      </c>
    </row>
    <row r="249" spans="1:7" ht="26" x14ac:dyDescent="0.35">
      <c r="A249" s="59" t="s">
        <v>58</v>
      </c>
      <c r="B249" s="60"/>
      <c r="C249" s="60"/>
      <c r="D249" s="60"/>
      <c r="E249" s="61"/>
    </row>
    <row r="250" spans="1:7" x14ac:dyDescent="0.35">
      <c r="A250" s="9">
        <v>22</v>
      </c>
      <c r="B250" s="155" t="s">
        <v>59</v>
      </c>
      <c r="C250" s="11"/>
      <c r="D250" s="11"/>
      <c r="E250" s="11"/>
      <c r="F250" s="11"/>
      <c r="G250" s="1" t="e">
        <f>+G248+1</f>
        <v>#REF!</v>
      </c>
    </row>
    <row r="251" spans="1:7" x14ac:dyDescent="0.35">
      <c r="B251" s="1" t="s">
        <v>0</v>
      </c>
      <c r="C251" s="4" t="s">
        <v>2</v>
      </c>
      <c r="D251" t="s">
        <v>64</v>
      </c>
      <c r="G251" s="1" t="e">
        <f t="shared" si="11"/>
        <v>#REF!</v>
      </c>
    </row>
    <row r="252" spans="1:7" x14ac:dyDescent="0.35">
      <c r="B252" s="1" t="s">
        <v>1</v>
      </c>
      <c r="C252" t="s">
        <v>3</v>
      </c>
      <c r="G252" s="1" t="e">
        <f t="shared" si="11"/>
        <v>#REF!</v>
      </c>
    </row>
    <row r="253" spans="1:7" x14ac:dyDescent="0.35">
      <c r="B253" s="1" t="s">
        <v>4</v>
      </c>
      <c r="C253" t="s">
        <v>6</v>
      </c>
      <c r="G253" s="1" t="e">
        <f t="shared" si="11"/>
        <v>#REF!</v>
      </c>
    </row>
    <row r="254" spans="1:7" x14ac:dyDescent="0.35">
      <c r="B254" s="1" t="s">
        <v>5</v>
      </c>
      <c r="C254" t="s">
        <v>7</v>
      </c>
      <c r="G254" s="1" t="e">
        <f t="shared" si="11"/>
        <v>#REF!</v>
      </c>
    </row>
    <row r="255" spans="1:7" x14ac:dyDescent="0.35">
      <c r="A255" s="9">
        <v>23</v>
      </c>
      <c r="B255" s="155" t="s">
        <v>60</v>
      </c>
      <c r="C255" s="11"/>
      <c r="D255" s="11"/>
      <c r="E255" s="11"/>
      <c r="F255" s="11"/>
      <c r="G255" s="1" t="e">
        <f t="shared" si="11"/>
        <v>#REF!</v>
      </c>
    </row>
    <row r="256" spans="1:7" x14ac:dyDescent="0.35">
      <c r="B256" s="1" t="s">
        <v>0</v>
      </c>
      <c r="C256" s="4" t="s">
        <v>61</v>
      </c>
      <c r="D256" t="s">
        <v>63</v>
      </c>
      <c r="G256" s="1" t="e">
        <f t="shared" si="11"/>
        <v>#REF!</v>
      </c>
    </row>
    <row r="257" spans="1:7" x14ac:dyDescent="0.35">
      <c r="B257" s="1" t="s">
        <v>1</v>
      </c>
      <c r="C257" t="s">
        <v>62</v>
      </c>
      <c r="G257" s="1" t="e">
        <f t="shared" si="11"/>
        <v>#REF!</v>
      </c>
    </row>
    <row r="258" spans="1:7" x14ac:dyDescent="0.35">
      <c r="B258" s="1" t="s">
        <v>4</v>
      </c>
      <c r="C258" t="s">
        <v>62</v>
      </c>
      <c r="G258" s="1" t="e">
        <f t="shared" si="11"/>
        <v>#REF!</v>
      </c>
    </row>
    <row r="259" spans="1:7" x14ac:dyDescent="0.35">
      <c r="B259" s="1" t="s">
        <v>5</v>
      </c>
      <c r="C259" t="s">
        <v>62</v>
      </c>
      <c r="G259" s="1" t="e">
        <f t="shared" si="11"/>
        <v>#REF!</v>
      </c>
    </row>
    <row r="260" spans="1:7" x14ac:dyDescent="0.35">
      <c r="A260" s="9">
        <v>24</v>
      </c>
      <c r="B260" s="156" t="s">
        <v>65</v>
      </c>
      <c r="C260" s="11"/>
      <c r="D260" s="11"/>
      <c r="E260" s="11"/>
      <c r="F260" s="11"/>
      <c r="G260" s="1" t="e">
        <f t="shared" si="11"/>
        <v>#REF!</v>
      </c>
    </row>
    <row r="261" spans="1:7" x14ac:dyDescent="0.35">
      <c r="B261" s="1" t="s">
        <v>0</v>
      </c>
      <c r="C261" s="4" t="s">
        <v>2</v>
      </c>
      <c r="D261" t="s">
        <v>64</v>
      </c>
      <c r="G261" s="1" t="e">
        <f t="shared" si="11"/>
        <v>#REF!</v>
      </c>
    </row>
    <row r="262" spans="1:7" x14ac:dyDescent="0.35">
      <c r="B262" s="1" t="s">
        <v>1</v>
      </c>
      <c r="C262" t="s">
        <v>3</v>
      </c>
      <c r="G262" s="1" t="e">
        <f t="shared" si="11"/>
        <v>#REF!</v>
      </c>
    </row>
    <row r="263" spans="1:7" x14ac:dyDescent="0.35">
      <c r="B263" s="1" t="s">
        <v>4</v>
      </c>
      <c r="C263" t="s">
        <v>6</v>
      </c>
      <c r="G263" s="1" t="e">
        <f t="shared" si="11"/>
        <v>#REF!</v>
      </c>
    </row>
    <row r="264" spans="1:7" x14ac:dyDescent="0.35">
      <c r="B264" s="1" t="s">
        <v>5</v>
      </c>
      <c r="C264" t="s">
        <v>7</v>
      </c>
      <c r="G264" s="1" t="e">
        <f t="shared" si="11"/>
        <v>#REF!</v>
      </c>
    </row>
    <row r="265" spans="1:7" x14ac:dyDescent="0.35">
      <c r="A265" s="9">
        <v>25</v>
      </c>
      <c r="B265" s="156" t="s">
        <v>66</v>
      </c>
      <c r="C265" s="11"/>
      <c r="D265" s="11"/>
      <c r="E265" s="11"/>
      <c r="F265" s="11"/>
      <c r="G265" s="1" t="e">
        <f t="shared" si="11"/>
        <v>#REF!</v>
      </c>
    </row>
    <row r="266" spans="1:7" x14ac:dyDescent="0.35">
      <c r="B266" s="1" t="s">
        <v>0</v>
      </c>
      <c r="C266" s="4" t="s">
        <v>67</v>
      </c>
      <c r="D266" t="s">
        <v>69</v>
      </c>
      <c r="G266" s="1" t="e">
        <f t="shared" si="11"/>
        <v>#REF!</v>
      </c>
    </row>
    <row r="267" spans="1:7" x14ac:dyDescent="0.35">
      <c r="B267" s="1" t="s">
        <v>1</v>
      </c>
      <c r="C267" t="s">
        <v>68</v>
      </c>
      <c r="G267" s="1" t="e">
        <f t="shared" si="11"/>
        <v>#REF!</v>
      </c>
    </row>
    <row r="268" spans="1:7" x14ac:dyDescent="0.35">
      <c r="B268" s="1"/>
    </row>
    <row r="269" spans="1:7" ht="26" x14ac:dyDescent="0.35">
      <c r="A269" s="59" t="s">
        <v>70</v>
      </c>
      <c r="B269" s="60"/>
      <c r="C269" s="60"/>
      <c r="D269" s="60"/>
      <c r="E269" s="61"/>
    </row>
    <row r="270" spans="1:7" x14ac:dyDescent="0.35">
      <c r="A270" s="9">
        <v>26</v>
      </c>
      <c r="B270" s="1" t="s">
        <v>0</v>
      </c>
      <c r="C270" t="s">
        <v>71</v>
      </c>
    </row>
    <row r="271" spans="1:7" x14ac:dyDescent="0.35">
      <c r="B271" s="1" t="s">
        <v>1</v>
      </c>
    </row>
    <row r="272" spans="1:7" x14ac:dyDescent="0.35">
      <c r="B272" s="1" t="s">
        <v>4</v>
      </c>
    </row>
    <row r="273" spans="2:2" x14ac:dyDescent="0.35">
      <c r="B273" s="1" t="s">
        <v>5</v>
      </c>
    </row>
  </sheetData>
  <mergeCells count="45">
    <mergeCell ref="H108:O109"/>
    <mergeCell ref="H111:O112"/>
    <mergeCell ref="H102:O103"/>
    <mergeCell ref="A123:F123"/>
    <mergeCell ref="A133:F133"/>
    <mergeCell ref="H98:O99"/>
    <mergeCell ref="C99:F99"/>
    <mergeCell ref="H100:O101"/>
    <mergeCell ref="C102:F102"/>
    <mergeCell ref="H80:O80"/>
    <mergeCell ref="C81:F81"/>
    <mergeCell ref="H86:O87"/>
    <mergeCell ref="H89:O90"/>
    <mergeCell ref="C84:F84"/>
    <mergeCell ref="C83:F83"/>
    <mergeCell ref="C85:F85"/>
    <mergeCell ref="C87:F87"/>
    <mergeCell ref="H64:O65"/>
    <mergeCell ref="H67:O68"/>
    <mergeCell ref="H76:O77"/>
    <mergeCell ref="C77:F77"/>
    <mergeCell ref="H78:O79"/>
    <mergeCell ref="H54:O55"/>
    <mergeCell ref="C55:F55"/>
    <mergeCell ref="H56:O57"/>
    <mergeCell ref="C58:F58"/>
    <mergeCell ref="H58:O58"/>
    <mergeCell ref="H16:O17"/>
    <mergeCell ref="H19:O20"/>
    <mergeCell ref="C10:F10"/>
    <mergeCell ref="C7:F7"/>
    <mergeCell ref="C11:F11"/>
    <mergeCell ref="H10:O10"/>
    <mergeCell ref="H6:O7"/>
    <mergeCell ref="H8:O9"/>
    <mergeCell ref="A249:E249"/>
    <mergeCell ref="A269:E269"/>
    <mergeCell ref="A1:F1"/>
    <mergeCell ref="A147:F147"/>
    <mergeCell ref="A180:E180"/>
    <mergeCell ref="A197:E197"/>
    <mergeCell ref="A213:E213"/>
    <mergeCell ref="C59:F59"/>
    <mergeCell ref="C80:F80"/>
    <mergeCell ref="C103:F10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showGridLines="0" tabSelected="1" workbookViewId="0">
      <selection activeCell="D11" sqref="D11"/>
    </sheetView>
  </sheetViews>
  <sheetFormatPr defaultRowHeight="14.5" x14ac:dyDescent="0.35"/>
  <cols>
    <col min="1" max="1" width="23.08984375" style="122" customWidth="1"/>
    <col min="2" max="3" width="20.81640625" style="122" customWidth="1"/>
    <col min="4" max="4" width="15.1796875" style="122" customWidth="1"/>
    <col min="5" max="5" width="19.81640625" style="122" customWidth="1"/>
    <col min="6" max="6" width="22.08984375" style="122" customWidth="1"/>
    <col min="7" max="7" width="16.08984375" style="122" customWidth="1"/>
    <col min="8" max="8" width="19.36328125" style="122" customWidth="1"/>
    <col min="9" max="9" width="8.7265625" style="122"/>
    <col min="10" max="10" width="19.7265625" style="122" customWidth="1"/>
    <col min="11" max="11" width="8.7265625" style="122"/>
    <col min="12" max="12" width="10.90625" style="122" customWidth="1"/>
    <col min="13" max="13" width="10.81640625" style="122" customWidth="1"/>
    <col min="14" max="14" width="11.26953125" style="122" customWidth="1"/>
    <col min="15" max="15" width="11.54296875" style="122" customWidth="1"/>
    <col min="16" max="16384" width="8.7265625" style="122"/>
  </cols>
  <sheetData>
    <row r="1" spans="1:6" x14ac:dyDescent="0.35">
      <c r="A1" s="131" t="s">
        <v>372</v>
      </c>
      <c r="B1" s="160"/>
      <c r="C1" s="131" t="s">
        <v>373</v>
      </c>
      <c r="D1" s="160"/>
      <c r="E1" s="131" t="s">
        <v>393</v>
      </c>
      <c r="F1" s="160"/>
    </row>
    <row r="2" spans="1:6" x14ac:dyDescent="0.35">
      <c r="A2" s="170" t="s">
        <v>387</v>
      </c>
      <c r="C2" s="172" t="s">
        <v>387</v>
      </c>
      <c r="E2" s="172" t="s">
        <v>387</v>
      </c>
    </row>
    <row r="3" spans="1:6" x14ac:dyDescent="0.35">
      <c r="A3" s="170"/>
      <c r="C3" s="172"/>
      <c r="E3" s="172"/>
    </row>
    <row r="4" spans="1:6" ht="25" customHeight="1" x14ac:dyDescent="0.35">
      <c r="A4" s="170"/>
      <c r="C4" s="172"/>
      <c r="E4" s="172"/>
    </row>
    <row r="7" spans="1:6" x14ac:dyDescent="0.35">
      <c r="A7" s="131" t="s">
        <v>394</v>
      </c>
      <c r="B7" s="160"/>
      <c r="C7" s="131" t="s">
        <v>388</v>
      </c>
      <c r="D7" s="160"/>
      <c r="E7" s="131" t="s">
        <v>399</v>
      </c>
      <c r="F7" s="160"/>
    </row>
    <row r="8" spans="1:6" x14ac:dyDescent="0.35">
      <c r="A8" s="172" t="s">
        <v>387</v>
      </c>
      <c r="C8" s="172" t="s">
        <v>387</v>
      </c>
      <c r="E8" s="172" t="s">
        <v>387</v>
      </c>
    </row>
    <row r="9" spans="1:6" x14ac:dyDescent="0.35">
      <c r="A9" s="172"/>
      <c r="C9" s="172"/>
      <c r="D9" s="122" t="s">
        <v>405</v>
      </c>
      <c r="E9" s="172"/>
    </row>
    <row r="10" spans="1:6" x14ac:dyDescent="0.35">
      <c r="A10" s="172"/>
      <c r="C10" s="172"/>
      <c r="D10" s="122" t="s">
        <v>406</v>
      </c>
      <c r="E10" s="172"/>
    </row>
    <row r="11" spans="1:6" x14ac:dyDescent="0.35">
      <c r="D11" s="122" t="s">
        <v>407</v>
      </c>
    </row>
    <row r="12" spans="1:6" x14ac:dyDescent="0.35">
      <c r="A12" s="131" t="s">
        <v>97</v>
      </c>
      <c r="B12" s="161" t="s">
        <v>98</v>
      </c>
      <c r="C12" s="131" t="s">
        <v>86</v>
      </c>
      <c r="D12" s="161" t="s">
        <v>2</v>
      </c>
      <c r="E12" s="131" t="s">
        <v>378</v>
      </c>
      <c r="F12" s="162" t="s">
        <v>380</v>
      </c>
    </row>
    <row r="13" spans="1:6" x14ac:dyDescent="0.35">
      <c r="A13" s="170" t="s">
        <v>382</v>
      </c>
      <c r="B13" s="161" t="s">
        <v>99</v>
      </c>
      <c r="C13" s="158" t="s">
        <v>276</v>
      </c>
      <c r="D13" s="161" t="s">
        <v>3</v>
      </c>
      <c r="E13" s="158" t="s">
        <v>276</v>
      </c>
      <c r="F13" s="163"/>
    </row>
    <row r="14" spans="1:6" ht="29" x14ac:dyDescent="0.35">
      <c r="A14" s="170"/>
      <c r="B14" s="161" t="s">
        <v>100</v>
      </c>
      <c r="C14" s="158" t="s">
        <v>263</v>
      </c>
      <c r="D14" s="164" t="s">
        <v>6</v>
      </c>
      <c r="E14" s="159" t="s">
        <v>381</v>
      </c>
      <c r="F14" s="165"/>
    </row>
    <row r="15" spans="1:6" x14ac:dyDescent="0.35">
      <c r="A15" s="170"/>
      <c r="C15" s="122" t="s">
        <v>284</v>
      </c>
      <c r="D15" s="161" t="s">
        <v>264</v>
      </c>
      <c r="E15" s="158" t="s">
        <v>284</v>
      </c>
      <c r="F15" s="163"/>
    </row>
    <row r="16" spans="1:6" x14ac:dyDescent="0.35">
      <c r="C16" s="129"/>
      <c r="F16" s="166"/>
    </row>
    <row r="17" spans="1:6" x14ac:dyDescent="0.35">
      <c r="A17" s="167" t="s">
        <v>92</v>
      </c>
      <c r="B17" s="168"/>
      <c r="C17" s="131" t="s">
        <v>395</v>
      </c>
      <c r="D17" s="160"/>
      <c r="E17" s="131" t="s">
        <v>275</v>
      </c>
      <c r="F17" s="160"/>
    </row>
    <row r="18" spans="1:6" x14ac:dyDescent="0.35">
      <c r="A18" s="172" t="s">
        <v>392</v>
      </c>
      <c r="C18" s="158" t="s">
        <v>285</v>
      </c>
      <c r="E18" s="158" t="s">
        <v>285</v>
      </c>
      <c r="F18" s="166"/>
    </row>
    <row r="19" spans="1:6" x14ac:dyDescent="0.35">
      <c r="A19" s="172"/>
      <c r="C19" s="158" t="s">
        <v>286</v>
      </c>
      <c r="E19" s="158" t="s">
        <v>286</v>
      </c>
      <c r="F19" s="166"/>
    </row>
    <row r="20" spans="1:6" x14ac:dyDescent="0.35">
      <c r="A20" s="172"/>
      <c r="C20" s="158"/>
      <c r="E20" s="158"/>
      <c r="F20" s="166"/>
    </row>
    <row r="21" spans="1:6" x14ac:dyDescent="0.35">
      <c r="A21" s="172"/>
      <c r="C21" s="158"/>
      <c r="E21" s="158"/>
      <c r="F21" s="166"/>
    </row>
    <row r="22" spans="1:6" x14ac:dyDescent="0.35">
      <c r="C22" s="129"/>
      <c r="F22" s="166"/>
    </row>
    <row r="23" spans="1:6" x14ac:dyDescent="0.35">
      <c r="A23" s="131" t="s">
        <v>396</v>
      </c>
      <c r="B23" s="160"/>
      <c r="C23" s="131" t="s">
        <v>79</v>
      </c>
      <c r="D23" s="160"/>
      <c r="E23" s="131" t="s">
        <v>265</v>
      </c>
      <c r="F23" s="160"/>
    </row>
    <row r="24" spans="1:6" x14ac:dyDescent="0.35">
      <c r="A24" s="158" t="s">
        <v>285</v>
      </c>
      <c r="C24" s="158" t="s">
        <v>285</v>
      </c>
      <c r="E24" s="158" t="s">
        <v>285</v>
      </c>
      <c r="F24" s="166"/>
    </row>
    <row r="25" spans="1:6" x14ac:dyDescent="0.35">
      <c r="A25" s="158" t="s">
        <v>286</v>
      </c>
      <c r="C25" s="158" t="s">
        <v>286</v>
      </c>
      <c r="E25" s="158" t="s">
        <v>286</v>
      </c>
      <c r="F25" s="166"/>
    </row>
    <row r="26" spans="1:6" x14ac:dyDescent="0.35">
      <c r="C26" s="129"/>
      <c r="F26" s="166"/>
    </row>
    <row r="27" spans="1:6" x14ac:dyDescent="0.35">
      <c r="A27" s="131" t="s">
        <v>87</v>
      </c>
      <c r="B27" s="160"/>
      <c r="C27" s="131" t="s">
        <v>76</v>
      </c>
      <c r="D27" s="160"/>
      <c r="E27" s="131" t="s">
        <v>77</v>
      </c>
      <c r="F27" s="160"/>
    </row>
    <row r="28" spans="1:6" x14ac:dyDescent="0.35">
      <c r="A28" s="63" t="s">
        <v>387</v>
      </c>
      <c r="C28" s="63" t="s">
        <v>390</v>
      </c>
      <c r="E28" s="63" t="s">
        <v>391</v>
      </c>
    </row>
    <row r="29" spans="1:6" x14ac:dyDescent="0.35">
      <c r="A29" s="64"/>
      <c r="C29" s="64"/>
      <c r="E29" s="64"/>
    </row>
    <row r="30" spans="1:6" x14ac:dyDescent="0.35">
      <c r="A30" s="64"/>
      <c r="C30" s="64"/>
      <c r="E30" s="64"/>
    </row>
    <row r="31" spans="1:6" ht="28.5" customHeight="1" x14ac:dyDescent="0.35">
      <c r="A31" s="65"/>
      <c r="C31" s="65"/>
      <c r="E31" s="65"/>
    </row>
    <row r="34" spans="1:6" x14ac:dyDescent="0.35">
      <c r="A34" s="131" t="s">
        <v>289</v>
      </c>
      <c r="B34" s="160"/>
      <c r="C34" s="131" t="s">
        <v>293</v>
      </c>
      <c r="D34" s="160"/>
      <c r="E34" s="131" t="s">
        <v>292</v>
      </c>
      <c r="F34" s="160"/>
    </row>
    <row r="35" spans="1:6" ht="14.5" customHeight="1" x14ac:dyDescent="0.35">
      <c r="A35" s="172" t="s">
        <v>387</v>
      </c>
      <c r="C35" s="172" t="s">
        <v>387</v>
      </c>
      <c r="E35" s="172" t="s">
        <v>387</v>
      </c>
    </row>
    <row r="36" spans="1:6" x14ac:dyDescent="0.35">
      <c r="A36" s="172"/>
      <c r="C36" s="172"/>
      <c r="E36" s="172"/>
    </row>
    <row r="37" spans="1:6" x14ac:dyDescent="0.35">
      <c r="A37" s="172"/>
      <c r="C37" s="172"/>
      <c r="E37" s="172"/>
    </row>
    <row r="39" spans="1:6" x14ac:dyDescent="0.35">
      <c r="A39" s="131" t="s">
        <v>27</v>
      </c>
      <c r="B39" s="160"/>
      <c r="C39" s="131" t="s">
        <v>277</v>
      </c>
      <c r="D39" s="160"/>
      <c r="E39" s="131" t="s">
        <v>81</v>
      </c>
      <c r="F39" s="160" t="s">
        <v>266</v>
      </c>
    </row>
    <row r="40" spans="1:6" ht="14.5" customHeight="1" x14ac:dyDescent="0.35">
      <c r="A40" s="172" t="s">
        <v>387</v>
      </c>
      <c r="C40" s="172" t="s">
        <v>387</v>
      </c>
      <c r="E40" s="158" t="s">
        <v>269</v>
      </c>
      <c r="F40" s="169" t="s">
        <v>267</v>
      </c>
    </row>
    <row r="41" spans="1:6" x14ac:dyDescent="0.35">
      <c r="A41" s="172"/>
      <c r="C41" s="172"/>
      <c r="E41" s="158" t="s">
        <v>285</v>
      </c>
      <c r="F41" s="160" t="s">
        <v>268</v>
      </c>
    </row>
    <row r="42" spans="1:6" x14ac:dyDescent="0.35">
      <c r="A42" s="172"/>
      <c r="C42" s="172"/>
      <c r="E42" s="158" t="s">
        <v>286</v>
      </c>
    </row>
    <row r="45" spans="1:6" x14ac:dyDescent="0.35">
      <c r="A45" s="167" t="s">
        <v>270</v>
      </c>
      <c r="B45" s="160" t="s">
        <v>266</v>
      </c>
      <c r="C45" s="131" t="s">
        <v>83</v>
      </c>
      <c r="D45" s="160" t="s">
        <v>266</v>
      </c>
    </row>
    <row r="46" spans="1:6" x14ac:dyDescent="0.35">
      <c r="A46" s="158" t="s">
        <v>269</v>
      </c>
      <c r="B46" s="169" t="s">
        <v>267</v>
      </c>
      <c r="C46" s="158" t="s">
        <v>269</v>
      </c>
      <c r="D46" s="169" t="s">
        <v>267</v>
      </c>
    </row>
    <row r="47" spans="1:6" x14ac:dyDescent="0.35">
      <c r="A47" s="158" t="s">
        <v>285</v>
      </c>
      <c r="B47" s="160" t="s">
        <v>268</v>
      </c>
      <c r="C47" s="158" t="s">
        <v>285</v>
      </c>
      <c r="D47" s="160" t="s">
        <v>268</v>
      </c>
    </row>
    <row r="48" spans="1:6" x14ac:dyDescent="0.35">
      <c r="C48" s="158" t="s">
        <v>286</v>
      </c>
    </row>
    <row r="69" spans="1:7" x14ac:dyDescent="0.35">
      <c r="A69" s="154" t="s">
        <v>271</v>
      </c>
      <c r="B69" s="154" t="s">
        <v>272</v>
      </c>
      <c r="C69" s="154"/>
    </row>
    <row r="70" spans="1:7" x14ac:dyDescent="0.35">
      <c r="B70" s="154" t="s">
        <v>273</v>
      </c>
      <c r="C70" s="154"/>
      <c r="D70" s="154"/>
      <c r="E70" s="154"/>
      <c r="F70" s="154"/>
      <c r="G70" s="154"/>
    </row>
  </sheetData>
  <mergeCells count="16">
    <mergeCell ref="E8:E10"/>
    <mergeCell ref="C35:C37"/>
    <mergeCell ref="E35:E37"/>
    <mergeCell ref="A35:A37"/>
    <mergeCell ref="A40:A42"/>
    <mergeCell ref="C40:C42"/>
    <mergeCell ref="A18:A21"/>
    <mergeCell ref="A28:A31"/>
    <mergeCell ref="C28:C31"/>
    <mergeCell ref="E28:E31"/>
    <mergeCell ref="A13:A15"/>
    <mergeCell ref="A2:A4"/>
    <mergeCell ref="C2:C4"/>
    <mergeCell ref="C8:C10"/>
    <mergeCell ref="E2:E4"/>
    <mergeCell ref="A8:A10"/>
  </mergeCells>
  <pageMargins left="0.2" right="0.2" top="0.5" bottom="0.75" header="0.55000000000000004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4"/>
  <sheetViews>
    <sheetView workbookViewId="0">
      <selection activeCell="F1" sqref="F1"/>
    </sheetView>
  </sheetViews>
  <sheetFormatPr defaultRowHeight="14.5" x14ac:dyDescent="0.35"/>
  <cols>
    <col min="1" max="5" width="10.36328125" customWidth="1"/>
    <col min="6" max="6" width="11.7265625" customWidth="1"/>
    <col min="7" max="8" width="20.81640625" customWidth="1"/>
    <col min="9" max="9" width="15.1796875" customWidth="1"/>
    <col min="10" max="15" width="13.36328125" customWidth="1"/>
    <col min="16" max="16" width="22.08984375" customWidth="1"/>
    <col min="17" max="17" width="11" customWidth="1"/>
    <col min="24" max="24" width="10.81640625" customWidth="1"/>
    <col min="25" max="25" width="11.26953125" customWidth="1"/>
    <col min="26" max="26" width="11.54296875" customWidth="1"/>
    <col min="27" max="27" width="28.6328125" customWidth="1"/>
  </cols>
  <sheetData>
    <row r="1" spans="1:27" ht="46.5" x14ac:dyDescent="0.35">
      <c r="A1" s="17" t="s">
        <v>72</v>
      </c>
      <c r="B1" s="17" t="s">
        <v>372</v>
      </c>
      <c r="C1" s="17" t="s">
        <v>373</v>
      </c>
      <c r="D1" s="17" t="s">
        <v>397</v>
      </c>
      <c r="E1" s="17" t="s">
        <v>394</v>
      </c>
      <c r="F1" s="17" t="s">
        <v>398</v>
      </c>
      <c r="G1" s="17" t="s">
        <v>388</v>
      </c>
      <c r="H1" s="17" t="s">
        <v>97</v>
      </c>
      <c r="I1" s="17" t="s">
        <v>86</v>
      </c>
      <c r="J1" s="17" t="s">
        <v>92</v>
      </c>
      <c r="K1" s="17" t="s">
        <v>274</v>
      </c>
      <c r="L1" s="17" t="s">
        <v>279</v>
      </c>
      <c r="M1" s="17" t="s">
        <v>280</v>
      </c>
      <c r="N1" s="17" t="s">
        <v>281</v>
      </c>
      <c r="O1" s="17" t="s">
        <v>265</v>
      </c>
      <c r="P1" s="17" t="s">
        <v>87</v>
      </c>
      <c r="Q1" s="18" t="s">
        <v>76</v>
      </c>
      <c r="R1" s="18" t="s">
        <v>77</v>
      </c>
      <c r="S1" s="18" t="s">
        <v>289</v>
      </c>
      <c r="T1" s="18" t="s">
        <v>293</v>
      </c>
      <c r="U1" s="18" t="s">
        <v>292</v>
      </c>
      <c r="V1" s="18" t="s">
        <v>27</v>
      </c>
      <c r="W1" s="19" t="s">
        <v>282</v>
      </c>
      <c r="X1" s="19" t="s">
        <v>81</v>
      </c>
      <c r="Y1" s="19" t="s">
        <v>82</v>
      </c>
      <c r="Z1" s="19" t="s">
        <v>83</v>
      </c>
      <c r="AA1" s="157" t="s">
        <v>374</v>
      </c>
    </row>
    <row r="2" spans="1:27" x14ac:dyDescent="0.35">
      <c r="A2" s="20"/>
      <c r="B2" s="20"/>
      <c r="C2" s="20"/>
      <c r="D2" s="20"/>
      <c r="E2" s="20"/>
      <c r="F2" s="20"/>
      <c r="G2" s="20"/>
      <c r="H2" s="20" t="s">
        <v>98</v>
      </c>
      <c r="I2" s="20" t="s">
        <v>2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 t="s">
        <v>375</v>
      </c>
    </row>
    <row r="3" spans="1:27" x14ac:dyDescent="0.35">
      <c r="A3" s="20"/>
      <c r="B3" s="20"/>
      <c r="C3" s="20"/>
      <c r="D3" s="20"/>
      <c r="E3" s="20"/>
      <c r="F3" s="20"/>
      <c r="G3" s="20"/>
      <c r="H3" s="20" t="s">
        <v>99</v>
      </c>
      <c r="I3" s="20" t="s">
        <v>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29" x14ac:dyDescent="0.35">
      <c r="A4" s="20"/>
      <c r="B4" s="20"/>
      <c r="C4" s="20"/>
      <c r="D4" s="20"/>
      <c r="E4" s="20"/>
      <c r="F4" s="20"/>
      <c r="G4" s="20"/>
      <c r="H4" s="20" t="s">
        <v>100</v>
      </c>
      <c r="I4" s="23" t="s">
        <v>6</v>
      </c>
      <c r="J4" s="20"/>
      <c r="K4" s="20"/>
      <c r="L4" s="20"/>
      <c r="M4" s="20"/>
      <c r="N4" s="20"/>
      <c r="O4" s="20"/>
      <c r="P4" s="27" t="s">
        <v>102</v>
      </c>
      <c r="Q4" s="24"/>
      <c r="R4" s="24"/>
      <c r="S4" s="24"/>
      <c r="T4" s="24"/>
      <c r="U4" s="24"/>
      <c r="V4" s="24"/>
      <c r="W4" s="24"/>
      <c r="X4" s="20"/>
      <c r="Y4" s="20"/>
      <c r="Z4" s="20"/>
      <c r="AA4" s="20"/>
    </row>
    <row r="5" spans="1:27" x14ac:dyDescent="0.35">
      <c r="A5" s="20"/>
      <c r="B5" s="20"/>
      <c r="C5" s="20"/>
      <c r="D5" s="20"/>
      <c r="E5" s="20"/>
      <c r="F5" s="20"/>
      <c r="G5" s="20"/>
      <c r="H5" s="25" t="s">
        <v>101</v>
      </c>
      <c r="I5" s="20" t="s">
        <v>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29" x14ac:dyDescent="0.35">
      <c r="A6" s="20"/>
      <c r="B6" s="20"/>
      <c r="C6" s="20"/>
      <c r="D6" s="20"/>
      <c r="E6" s="20"/>
      <c r="F6" s="20"/>
      <c r="G6" s="20"/>
      <c r="H6" s="20"/>
      <c r="I6" s="26" t="s">
        <v>101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72.5" x14ac:dyDescent="0.35">
      <c r="A7" s="39" t="s">
        <v>283</v>
      </c>
      <c r="B7" s="39"/>
      <c r="C7" s="39"/>
      <c r="D7" s="39"/>
      <c r="E7" s="39"/>
      <c r="F7" s="39" t="s">
        <v>345</v>
      </c>
      <c r="G7" s="39" t="s">
        <v>345</v>
      </c>
      <c r="H7" s="39" t="s">
        <v>152</v>
      </c>
      <c r="I7" s="39" t="s">
        <v>153</v>
      </c>
      <c r="J7" s="39" t="s">
        <v>153</v>
      </c>
      <c r="K7" s="39"/>
      <c r="L7" s="39"/>
      <c r="M7" s="39"/>
      <c r="N7" s="39"/>
      <c r="O7" s="39"/>
      <c r="P7" s="39" t="s">
        <v>153</v>
      </c>
      <c r="Q7" s="39" t="s">
        <v>153</v>
      </c>
      <c r="R7" s="39" t="s">
        <v>153</v>
      </c>
      <c r="S7" s="39" t="s">
        <v>153</v>
      </c>
      <c r="T7" s="39"/>
      <c r="U7" s="39"/>
      <c r="V7" s="39" t="s">
        <v>153</v>
      </c>
      <c r="W7" s="39" t="s">
        <v>153</v>
      </c>
      <c r="X7" s="39" t="s">
        <v>153</v>
      </c>
      <c r="Y7" s="39" t="s">
        <v>153</v>
      </c>
      <c r="Z7" s="39" t="s">
        <v>153</v>
      </c>
    </row>
    <row r="8" spans="1:27" ht="14.5" customHeight="1" x14ac:dyDescent="0.35">
      <c r="S8" s="173" t="s">
        <v>389</v>
      </c>
      <c r="T8" s="173" t="s">
        <v>389</v>
      </c>
      <c r="U8" s="173" t="s">
        <v>389</v>
      </c>
      <c r="V8" s="173" t="s">
        <v>389</v>
      </c>
      <c r="W8" s="173" t="s">
        <v>389</v>
      </c>
    </row>
    <row r="9" spans="1:27" x14ac:dyDescent="0.35">
      <c r="J9" s="4"/>
      <c r="K9" s="4"/>
      <c r="L9" s="4"/>
      <c r="M9" s="4"/>
      <c r="N9" s="4"/>
      <c r="O9" s="4"/>
      <c r="S9" s="174"/>
      <c r="T9" s="174"/>
      <c r="U9" s="174"/>
      <c r="V9" s="174"/>
      <c r="W9" s="174"/>
    </row>
    <row r="10" spans="1:27" x14ac:dyDescent="0.35">
      <c r="B10" s="173" t="s">
        <v>389</v>
      </c>
      <c r="C10" s="173" t="s">
        <v>389</v>
      </c>
      <c r="D10" s="175"/>
      <c r="E10" s="175"/>
      <c r="F10" s="175"/>
      <c r="G10" s="173" t="s">
        <v>389</v>
      </c>
      <c r="P10" s="173" t="s">
        <v>389</v>
      </c>
      <c r="S10" s="174"/>
      <c r="T10" s="174"/>
      <c r="U10" s="174"/>
      <c r="V10" s="174"/>
      <c r="W10" s="174"/>
    </row>
    <row r="11" spans="1:27" x14ac:dyDescent="0.35">
      <c r="B11" s="174"/>
      <c r="C11" s="174"/>
      <c r="D11" s="176"/>
      <c r="E11" s="176"/>
      <c r="F11" s="176"/>
      <c r="G11" s="174"/>
      <c r="P11" s="174"/>
      <c r="S11" s="174"/>
      <c r="T11" s="174"/>
      <c r="U11" s="174"/>
      <c r="V11" s="174"/>
      <c r="W11" s="174"/>
    </row>
    <row r="12" spans="1:27" x14ac:dyDescent="0.35">
      <c r="B12" s="174"/>
      <c r="C12" s="174"/>
      <c r="D12" s="176"/>
      <c r="E12" s="176"/>
      <c r="F12" s="176"/>
      <c r="G12" s="174"/>
      <c r="P12" s="174"/>
      <c r="S12" s="174"/>
      <c r="T12" s="174"/>
      <c r="U12" s="174"/>
      <c r="V12" s="174"/>
      <c r="W12" s="174"/>
    </row>
    <row r="13" spans="1:27" x14ac:dyDescent="0.35">
      <c r="B13" s="174"/>
      <c r="C13" s="174"/>
      <c r="D13" s="176"/>
      <c r="E13" s="176"/>
      <c r="F13" s="176"/>
      <c r="G13" s="174"/>
      <c r="P13" s="174"/>
      <c r="S13" s="174"/>
      <c r="T13" s="174"/>
      <c r="U13" s="174"/>
      <c r="V13" s="174"/>
      <c r="W13" s="174"/>
    </row>
    <row r="14" spans="1:27" x14ac:dyDescent="0.35">
      <c r="B14" s="174"/>
      <c r="C14" s="174"/>
      <c r="D14" s="176"/>
      <c r="E14" s="176"/>
      <c r="F14" s="176"/>
      <c r="G14" s="174"/>
      <c r="P14" s="174"/>
      <c r="S14" s="174"/>
      <c r="T14" s="174"/>
      <c r="U14" s="174"/>
      <c r="V14" s="174"/>
      <c r="W14" s="174"/>
    </row>
    <row r="15" spans="1:27" x14ac:dyDescent="0.35">
      <c r="B15" s="174"/>
      <c r="C15" s="174"/>
      <c r="D15" s="176"/>
      <c r="E15" s="176"/>
      <c r="F15" s="176"/>
      <c r="G15" s="174"/>
      <c r="P15" s="174"/>
    </row>
    <row r="16" spans="1:27" x14ac:dyDescent="0.35">
      <c r="B16" s="174"/>
      <c r="C16" s="174"/>
      <c r="D16" s="176"/>
      <c r="E16" s="176"/>
      <c r="F16" s="176"/>
      <c r="G16" s="174"/>
      <c r="P16" s="174"/>
    </row>
    <row r="21" spans="1:8" x14ac:dyDescent="0.35">
      <c r="A21" t="s">
        <v>84</v>
      </c>
      <c r="G21" s="3" t="s">
        <v>349</v>
      </c>
      <c r="H21" s="3"/>
    </row>
    <row r="22" spans="1:8" x14ac:dyDescent="0.35">
      <c r="A22" s="22" t="s">
        <v>89</v>
      </c>
      <c r="B22" s="22"/>
      <c r="C22" s="22"/>
      <c r="D22" s="22"/>
      <c r="E22" s="22"/>
      <c r="F22" s="22"/>
      <c r="G22" t="s">
        <v>95</v>
      </c>
    </row>
    <row r="23" spans="1:8" x14ac:dyDescent="0.35">
      <c r="A23" s="22" t="s">
        <v>90</v>
      </c>
      <c r="B23" s="22"/>
      <c r="C23" s="22"/>
      <c r="D23" s="22"/>
      <c r="E23" s="22"/>
      <c r="F23" s="22"/>
      <c r="G23" t="s">
        <v>94</v>
      </c>
    </row>
    <row r="24" spans="1:8" x14ac:dyDescent="0.35">
      <c r="A24" s="22" t="s">
        <v>96</v>
      </c>
      <c r="B24" s="22"/>
      <c r="C24" s="22"/>
      <c r="D24" s="22"/>
      <c r="E24" s="22"/>
      <c r="F24" s="22"/>
      <c r="G24" t="s">
        <v>93</v>
      </c>
    </row>
  </sheetData>
  <mergeCells count="9">
    <mergeCell ref="P10:P16"/>
    <mergeCell ref="G10:G16"/>
    <mergeCell ref="B10:B16"/>
    <mergeCell ref="C10:C16"/>
    <mergeCell ref="W8:W14"/>
    <mergeCell ref="V8:V14"/>
    <mergeCell ref="S8:S14"/>
    <mergeCell ref="T8:T14"/>
    <mergeCell ref="U8:U14"/>
  </mergeCells>
  <conditionalFormatting sqref="A1:F1">
    <cfRule type="duplicateValues" dxfId="18" priority="3"/>
  </conditionalFormatting>
  <conditionalFormatting sqref="A1:F1">
    <cfRule type="duplicateValues" dxfId="17" priority="2"/>
  </conditionalFormatting>
  <conditionalFormatting sqref="A1:F1">
    <cfRule type="duplicateValues" dxfId="16" priority="1"/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workbookViewId="0">
      <selection activeCell="E11" sqref="E11"/>
    </sheetView>
  </sheetViews>
  <sheetFormatPr defaultRowHeight="14.5" x14ac:dyDescent="0.35"/>
  <cols>
    <col min="1" max="1" width="14.54296875" customWidth="1"/>
    <col min="4" max="4" width="10.453125" customWidth="1"/>
    <col min="5" max="5" width="11.1796875" customWidth="1"/>
    <col min="6" max="6" width="9.90625" customWidth="1"/>
    <col min="7" max="7" width="12.36328125" customWidth="1"/>
  </cols>
  <sheetData>
    <row r="1" spans="1:8" ht="28.5" customHeight="1" x14ac:dyDescent="0.65">
      <c r="A1" s="123" t="s">
        <v>225</v>
      </c>
      <c r="B1" s="123"/>
      <c r="C1" s="123"/>
      <c r="D1" s="123"/>
      <c r="E1" s="123"/>
      <c r="F1" s="123"/>
      <c r="G1" s="123"/>
      <c r="H1" s="123"/>
    </row>
    <row r="2" spans="1:8" ht="15.5" customHeight="1" x14ac:dyDescent="0.45">
      <c r="A2" s="98" t="s">
        <v>224</v>
      </c>
      <c r="B2" s="68"/>
      <c r="C2" s="68"/>
      <c r="D2" s="68"/>
      <c r="F2" s="70" t="s">
        <v>227</v>
      </c>
      <c r="G2" s="71">
        <f ca="1">TODAY()</f>
        <v>46248</v>
      </c>
    </row>
    <row r="3" spans="1:8" x14ac:dyDescent="0.35">
      <c r="A3" s="69" t="s">
        <v>226</v>
      </c>
      <c r="B3" s="69"/>
      <c r="C3" s="69"/>
      <c r="D3" s="69"/>
      <c r="E3" s="69"/>
      <c r="F3" s="70" t="s">
        <v>229</v>
      </c>
      <c r="G3" s="72" t="s">
        <v>230</v>
      </c>
    </row>
    <row r="4" spans="1:8" x14ac:dyDescent="0.35">
      <c r="A4" s="69" t="s">
        <v>228</v>
      </c>
      <c r="B4" s="69"/>
      <c r="C4" s="69"/>
      <c r="D4" s="69"/>
      <c r="E4" s="69"/>
    </row>
    <row r="5" spans="1:8" x14ac:dyDescent="0.35">
      <c r="A5" s="69" t="s">
        <v>231</v>
      </c>
      <c r="B5" s="69"/>
      <c r="C5" s="69"/>
      <c r="D5" s="69"/>
      <c r="E5" s="74" t="s">
        <v>253</v>
      </c>
      <c r="F5" s="75"/>
      <c r="G5" s="75"/>
    </row>
    <row r="6" spans="1:8" x14ac:dyDescent="0.35">
      <c r="A6" s="69" t="s">
        <v>232</v>
      </c>
      <c r="B6" s="69"/>
      <c r="C6" s="69"/>
      <c r="D6" s="69"/>
      <c r="E6" s="73" t="s">
        <v>224</v>
      </c>
      <c r="F6" s="73"/>
      <c r="G6" s="73"/>
    </row>
    <row r="7" spans="1:8" x14ac:dyDescent="0.35">
      <c r="A7" s="69" t="s">
        <v>233</v>
      </c>
      <c r="B7" s="69"/>
      <c r="C7" s="69"/>
      <c r="D7" s="69"/>
      <c r="E7" s="73" t="s">
        <v>235</v>
      </c>
      <c r="F7" s="73"/>
      <c r="G7" s="73"/>
    </row>
    <row r="8" spans="1:8" x14ac:dyDescent="0.35">
      <c r="A8" s="69"/>
      <c r="B8" s="69"/>
      <c r="C8" s="69"/>
      <c r="D8" s="69"/>
      <c r="E8" s="73" t="s">
        <v>226</v>
      </c>
      <c r="F8" s="73"/>
      <c r="G8" s="73"/>
    </row>
    <row r="9" spans="1:8" x14ac:dyDescent="0.35">
      <c r="A9" s="69"/>
      <c r="B9" s="69"/>
      <c r="C9" s="69"/>
      <c r="D9" s="69"/>
      <c r="E9" s="73" t="s">
        <v>228</v>
      </c>
      <c r="F9" s="73"/>
      <c r="G9" s="73"/>
    </row>
    <row r="10" spans="1:8" x14ac:dyDescent="0.35">
      <c r="A10" s="69"/>
      <c r="B10" s="69"/>
      <c r="C10" s="69"/>
      <c r="D10" s="69"/>
      <c r="E10" s="73" t="s">
        <v>231</v>
      </c>
      <c r="F10" s="73"/>
      <c r="G10" s="73"/>
    </row>
    <row r="11" spans="1:8" x14ac:dyDescent="0.35">
      <c r="A11" s="69"/>
      <c r="B11" s="69"/>
      <c r="C11" s="69"/>
      <c r="D11" s="69"/>
      <c r="E11" s="73" t="s">
        <v>232</v>
      </c>
      <c r="F11" s="73"/>
      <c r="G11" s="73"/>
    </row>
    <row r="12" spans="1:8" x14ac:dyDescent="0.35">
      <c r="A12" s="74" t="s">
        <v>252</v>
      </c>
      <c r="B12" s="75"/>
      <c r="C12" s="75"/>
      <c r="E12" s="74" t="s">
        <v>254</v>
      </c>
      <c r="F12" s="75"/>
      <c r="G12" s="75"/>
    </row>
    <row r="13" spans="1:8" x14ac:dyDescent="0.35">
      <c r="A13" s="73" t="s">
        <v>224</v>
      </c>
      <c r="B13" s="73"/>
      <c r="C13" s="73"/>
      <c r="D13" s="73"/>
      <c r="E13" s="73" t="s">
        <v>234</v>
      </c>
      <c r="F13" s="73"/>
      <c r="G13" s="73"/>
    </row>
    <row r="14" spans="1:8" x14ac:dyDescent="0.35">
      <c r="A14" s="73" t="s">
        <v>235</v>
      </c>
      <c r="B14" s="73"/>
      <c r="C14" s="73"/>
      <c r="D14" s="73"/>
      <c r="E14" s="73" t="s">
        <v>224</v>
      </c>
      <c r="F14" s="73"/>
      <c r="G14" s="73"/>
    </row>
    <row r="15" spans="1:8" x14ac:dyDescent="0.35">
      <c r="A15" s="73" t="s">
        <v>226</v>
      </c>
      <c r="B15" s="73"/>
      <c r="C15" s="73"/>
      <c r="D15" s="73"/>
      <c r="E15" s="73" t="s">
        <v>226</v>
      </c>
      <c r="F15" s="73"/>
      <c r="G15" s="73"/>
    </row>
    <row r="16" spans="1:8" x14ac:dyDescent="0.35">
      <c r="A16" s="73" t="s">
        <v>228</v>
      </c>
      <c r="B16" s="73"/>
      <c r="C16" s="73"/>
      <c r="D16" s="73"/>
      <c r="E16" s="73" t="s">
        <v>228</v>
      </c>
      <c r="F16" s="73"/>
      <c r="G16" s="73"/>
    </row>
    <row r="17" spans="1:7" x14ac:dyDescent="0.35">
      <c r="A17" s="73" t="s">
        <v>231</v>
      </c>
      <c r="B17" s="73"/>
      <c r="C17" s="73"/>
      <c r="D17" s="73"/>
      <c r="E17" s="73" t="s">
        <v>236</v>
      </c>
      <c r="F17" s="73"/>
      <c r="G17" s="73"/>
    </row>
    <row r="18" spans="1:7" x14ac:dyDescent="0.35">
      <c r="A18" s="73" t="s">
        <v>232</v>
      </c>
      <c r="B18" s="73"/>
      <c r="C18" s="73"/>
      <c r="D18" s="73"/>
      <c r="E18" s="73"/>
      <c r="F18" s="73"/>
      <c r="G18" s="73"/>
    </row>
    <row r="19" spans="1:7" x14ac:dyDescent="0.35">
      <c r="A19" s="73"/>
      <c r="B19" s="73"/>
      <c r="C19" s="73"/>
      <c r="D19" s="73"/>
      <c r="E19" s="73"/>
      <c r="F19" s="73"/>
      <c r="G19" s="73"/>
    </row>
    <row r="20" spans="1:7" x14ac:dyDescent="0.35">
      <c r="A20" s="76" t="s">
        <v>250</v>
      </c>
      <c r="B20" s="77" t="s">
        <v>237</v>
      </c>
      <c r="C20" s="77"/>
      <c r="D20" s="78" t="s">
        <v>105</v>
      </c>
      <c r="E20" s="125" t="s">
        <v>251</v>
      </c>
      <c r="F20" s="125" t="s">
        <v>378</v>
      </c>
      <c r="G20" s="126" t="s">
        <v>258</v>
      </c>
    </row>
    <row r="21" spans="1:7" x14ac:dyDescent="0.35">
      <c r="A21" s="79" t="s">
        <v>256</v>
      </c>
      <c r="B21" s="80" t="s">
        <v>367</v>
      </c>
      <c r="C21" s="81"/>
      <c r="D21" s="99">
        <v>3920</v>
      </c>
      <c r="E21" s="115" t="s">
        <v>257</v>
      </c>
      <c r="F21" s="115" t="s">
        <v>379</v>
      </c>
      <c r="G21" s="114" t="s">
        <v>259</v>
      </c>
    </row>
    <row r="22" spans="1:7" x14ac:dyDescent="0.35">
      <c r="A22" s="82"/>
      <c r="B22" s="82"/>
      <c r="C22" s="82"/>
      <c r="D22" s="82"/>
      <c r="E22" s="127" t="s">
        <v>278</v>
      </c>
      <c r="F22" s="82"/>
      <c r="G22" s="127" t="s">
        <v>278</v>
      </c>
    </row>
    <row r="23" spans="1:7" x14ac:dyDescent="0.35">
      <c r="A23" s="83" t="s">
        <v>238</v>
      </c>
      <c r="B23" s="84" t="s">
        <v>239</v>
      </c>
      <c r="C23" s="84"/>
      <c r="D23" s="84"/>
      <c r="E23" s="78" t="s">
        <v>255</v>
      </c>
      <c r="F23" s="78" t="s">
        <v>240</v>
      </c>
      <c r="G23" s="85" t="s">
        <v>241</v>
      </c>
    </row>
    <row r="24" spans="1:7" x14ac:dyDescent="0.35">
      <c r="A24" s="86" t="s">
        <v>242</v>
      </c>
      <c r="B24" s="87" t="s">
        <v>243</v>
      </c>
      <c r="C24" s="88"/>
      <c r="D24" s="89"/>
      <c r="E24" s="90">
        <v>15</v>
      </c>
      <c r="F24" s="91">
        <v>150</v>
      </c>
      <c r="G24" s="92">
        <f>E24*F24</f>
        <v>2250</v>
      </c>
    </row>
    <row r="25" spans="1:7" x14ac:dyDescent="0.35">
      <c r="A25" s="86" t="s">
        <v>244</v>
      </c>
      <c r="B25" s="87" t="s">
        <v>245</v>
      </c>
      <c r="C25" s="88"/>
      <c r="D25" s="89"/>
      <c r="E25" s="90">
        <v>1</v>
      </c>
      <c r="F25" s="91">
        <v>75</v>
      </c>
      <c r="G25" s="92">
        <f t="shared" ref="G25:G32" si="0">E25*F25</f>
        <v>75</v>
      </c>
    </row>
    <row r="26" spans="1:7" x14ac:dyDescent="0.35">
      <c r="A26" s="86"/>
      <c r="B26" s="87"/>
      <c r="C26" s="88"/>
      <c r="D26" s="89"/>
      <c r="E26" s="90"/>
      <c r="F26" s="91"/>
      <c r="G26" s="92">
        <f t="shared" si="0"/>
        <v>0</v>
      </c>
    </row>
    <row r="27" spans="1:7" x14ac:dyDescent="0.35">
      <c r="A27" s="86"/>
      <c r="B27" s="87"/>
      <c r="C27" s="88"/>
      <c r="D27" s="89"/>
      <c r="E27" s="90"/>
      <c r="F27" s="91"/>
      <c r="G27" s="92">
        <f t="shared" si="0"/>
        <v>0</v>
      </c>
    </row>
    <row r="28" spans="1:7" x14ac:dyDescent="0.35">
      <c r="A28" s="86" t="s">
        <v>246</v>
      </c>
      <c r="B28" s="87"/>
      <c r="C28" s="88"/>
      <c r="D28" s="89"/>
      <c r="E28" s="90"/>
      <c r="F28" s="91"/>
      <c r="G28" s="92">
        <f t="shared" si="0"/>
        <v>0</v>
      </c>
    </row>
    <row r="29" spans="1:7" x14ac:dyDescent="0.35">
      <c r="A29" s="86" t="s">
        <v>246</v>
      </c>
      <c r="B29" s="87"/>
      <c r="C29" s="88"/>
      <c r="D29" s="89"/>
      <c r="E29" s="90"/>
      <c r="F29" s="91"/>
      <c r="G29" s="92">
        <f t="shared" si="0"/>
        <v>0</v>
      </c>
    </row>
    <row r="30" spans="1:7" x14ac:dyDescent="0.35">
      <c r="A30" s="86" t="s">
        <v>246</v>
      </c>
      <c r="B30" s="87"/>
      <c r="C30" s="88"/>
      <c r="D30" s="89"/>
      <c r="E30" s="90"/>
      <c r="F30" s="91"/>
      <c r="G30" s="92">
        <f t="shared" si="0"/>
        <v>0</v>
      </c>
    </row>
    <row r="31" spans="1:7" x14ac:dyDescent="0.35">
      <c r="A31" s="86" t="s">
        <v>246</v>
      </c>
      <c r="B31" s="87"/>
      <c r="C31" s="88"/>
      <c r="D31" s="89"/>
      <c r="E31" s="90"/>
      <c r="F31" s="91"/>
      <c r="G31" s="92">
        <f t="shared" si="0"/>
        <v>0</v>
      </c>
    </row>
    <row r="32" spans="1:7" x14ac:dyDescent="0.35">
      <c r="A32" s="86" t="s">
        <v>246</v>
      </c>
      <c r="B32" s="87"/>
      <c r="C32" s="88"/>
      <c r="D32" s="89"/>
      <c r="E32" s="90"/>
      <c r="F32" s="91"/>
      <c r="G32" s="92">
        <f t="shared" si="0"/>
        <v>0</v>
      </c>
    </row>
    <row r="33" spans="1:7" x14ac:dyDescent="0.35">
      <c r="A33" s="93"/>
      <c r="B33" s="93"/>
      <c r="C33" s="93"/>
      <c r="D33" s="93"/>
      <c r="E33" s="94" t="s">
        <v>247</v>
      </c>
      <c r="F33" s="116" t="s">
        <v>241</v>
      </c>
      <c r="G33" s="117">
        <f>SUM(G24:G32)</f>
        <v>2325</v>
      </c>
    </row>
    <row r="34" spans="1:7" x14ac:dyDescent="0.35">
      <c r="A34" s="100" t="s">
        <v>260</v>
      </c>
      <c r="B34" s="100"/>
      <c r="C34" s="100"/>
      <c r="D34" s="100"/>
      <c r="E34" s="96"/>
      <c r="F34" s="95"/>
      <c r="G34" s="118"/>
    </row>
    <row r="35" spans="1:7" x14ac:dyDescent="0.35">
      <c r="A35" s="100"/>
      <c r="B35" s="100"/>
      <c r="C35" s="100"/>
      <c r="D35" s="100"/>
      <c r="E35" s="97"/>
      <c r="F35" s="102"/>
      <c r="G35" s="119"/>
    </row>
    <row r="36" spans="1:7" x14ac:dyDescent="0.35">
      <c r="A36" s="100"/>
      <c r="B36" s="100"/>
      <c r="C36" s="100"/>
      <c r="D36" s="100"/>
      <c r="E36" s="97"/>
      <c r="F36" s="102"/>
      <c r="G36" s="119"/>
    </row>
    <row r="37" spans="1:7" x14ac:dyDescent="0.35">
      <c r="A37" s="103" t="s">
        <v>248</v>
      </c>
      <c r="B37" s="104"/>
      <c r="C37" s="104"/>
      <c r="D37" s="105"/>
      <c r="E37" s="97"/>
      <c r="F37" s="120"/>
      <c r="G37" s="121"/>
    </row>
    <row r="38" spans="1:7" x14ac:dyDescent="0.35">
      <c r="A38" s="106"/>
      <c r="B38" s="100"/>
      <c r="C38" s="100"/>
      <c r="D38" s="107"/>
      <c r="E38" s="97"/>
      <c r="F38" s="101"/>
      <c r="G38" s="38"/>
    </row>
    <row r="39" spans="1:7" x14ac:dyDescent="0.35">
      <c r="A39" s="106"/>
      <c r="B39" s="100"/>
      <c r="C39" s="100"/>
      <c r="D39" s="107"/>
      <c r="E39" s="97"/>
    </row>
    <row r="40" spans="1:7" x14ac:dyDescent="0.35">
      <c r="A40" s="108"/>
      <c r="B40" s="109"/>
      <c r="C40" s="109"/>
      <c r="D40" s="110"/>
      <c r="E40" s="97"/>
      <c r="F40" s="69"/>
      <c r="G40" s="69"/>
    </row>
    <row r="41" spans="1:7" x14ac:dyDescent="0.35">
      <c r="A41" s="111"/>
      <c r="B41" s="112"/>
      <c r="C41" s="112"/>
      <c r="D41" s="113"/>
      <c r="E41" s="69"/>
      <c r="F41" s="69"/>
      <c r="G41" s="69"/>
    </row>
    <row r="42" spans="1:7" x14ac:dyDescent="0.35">
      <c r="A42" s="73" t="s">
        <v>261</v>
      </c>
      <c r="B42" s="73"/>
      <c r="C42" s="73"/>
      <c r="D42" s="73"/>
      <c r="E42" s="73"/>
      <c r="F42" s="73"/>
      <c r="G42" s="73"/>
    </row>
    <row r="43" spans="1:7" x14ac:dyDescent="0.35">
      <c r="A43" s="69" t="s">
        <v>249</v>
      </c>
      <c r="B43" s="69"/>
      <c r="C43" s="69"/>
      <c r="D43" s="69"/>
      <c r="E43" s="69"/>
      <c r="F43" s="69"/>
      <c r="G43" s="69"/>
    </row>
  </sheetData>
  <mergeCells count="22">
    <mergeCell ref="A40:D40"/>
    <mergeCell ref="A41:D41"/>
    <mergeCell ref="A1:H1"/>
    <mergeCell ref="A38:D38"/>
    <mergeCell ref="A39:D39"/>
    <mergeCell ref="A34:D34"/>
    <mergeCell ref="B32:D32"/>
    <mergeCell ref="A33:D33"/>
    <mergeCell ref="A37:D37"/>
    <mergeCell ref="A35:D35"/>
    <mergeCell ref="A36:D36"/>
    <mergeCell ref="B28:D28"/>
    <mergeCell ref="B29:D29"/>
    <mergeCell ref="B30:D30"/>
    <mergeCell ref="B31:D31"/>
    <mergeCell ref="B23:D23"/>
    <mergeCell ref="B24:D24"/>
    <mergeCell ref="B25:D25"/>
    <mergeCell ref="B26:D26"/>
    <mergeCell ref="B27:D27"/>
    <mergeCell ref="B20:C20"/>
    <mergeCell ref="B21:C21"/>
  </mergeCells>
  <conditionalFormatting sqref="D19">
    <cfRule type="containsText" dxfId="15" priority="1" operator="containsText" text="Vertex42.com">
      <formula>NOT(ISERROR(SEARCH("Vertex42.com",D19)))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"/>
  <sheetViews>
    <sheetView workbookViewId="0">
      <selection activeCell="B1" sqref="B1"/>
    </sheetView>
  </sheetViews>
  <sheetFormatPr defaultRowHeight="14.5" x14ac:dyDescent="0.35"/>
  <cols>
    <col min="2" max="3" width="20.81640625" customWidth="1"/>
    <col min="4" max="5" width="15.1796875" customWidth="1"/>
    <col min="6" max="6" width="22.08984375" customWidth="1"/>
    <col min="7" max="7" width="11" customWidth="1"/>
    <col min="10" max="10" width="19.7265625" customWidth="1"/>
    <col min="12" max="12" width="10.90625" customWidth="1"/>
    <col min="13" max="13" width="10.81640625" customWidth="1"/>
    <col min="14" max="14" width="11.26953125" customWidth="1"/>
    <col min="15" max="15" width="11.54296875" customWidth="1"/>
  </cols>
  <sheetData>
    <row r="1" spans="1:15" ht="43.5" x14ac:dyDescent="0.35">
      <c r="A1" s="17" t="s">
        <v>72</v>
      </c>
      <c r="B1" s="17" t="s">
        <v>75</v>
      </c>
      <c r="C1" s="17" t="s">
        <v>97</v>
      </c>
      <c r="D1" s="17" t="s">
        <v>86</v>
      </c>
      <c r="E1" s="17" t="s">
        <v>92</v>
      </c>
      <c r="F1" s="17" t="s">
        <v>87</v>
      </c>
      <c r="G1" s="18" t="s">
        <v>76</v>
      </c>
      <c r="H1" s="18" t="s">
        <v>77</v>
      </c>
      <c r="I1" s="18" t="s">
        <v>27</v>
      </c>
      <c r="J1" s="18" t="s">
        <v>78</v>
      </c>
      <c r="K1" s="19" t="s">
        <v>79</v>
      </c>
      <c r="L1" s="19" t="s">
        <v>80</v>
      </c>
      <c r="M1" s="19" t="s">
        <v>81</v>
      </c>
      <c r="N1" s="19" t="s">
        <v>82</v>
      </c>
      <c r="O1" s="19" t="s">
        <v>83</v>
      </c>
    </row>
    <row r="2" spans="1:15" x14ac:dyDescent="0.35">
      <c r="A2" s="20"/>
      <c r="B2" s="20"/>
      <c r="C2" s="20" t="s">
        <v>98</v>
      </c>
      <c r="D2" s="20" t="s">
        <v>2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35">
      <c r="A3" s="20"/>
      <c r="B3" s="20"/>
      <c r="C3" s="20" t="s">
        <v>99</v>
      </c>
      <c r="D3" s="20" t="s">
        <v>3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29" x14ac:dyDescent="0.35">
      <c r="A4" s="20"/>
      <c r="B4" s="20"/>
      <c r="C4" s="20" t="s">
        <v>100</v>
      </c>
      <c r="D4" s="23" t="s">
        <v>6</v>
      </c>
      <c r="E4" s="20"/>
      <c r="F4" s="63" t="s">
        <v>102</v>
      </c>
      <c r="G4" s="63" t="s">
        <v>103</v>
      </c>
      <c r="H4" s="63" t="s">
        <v>104</v>
      </c>
      <c r="I4" s="51"/>
      <c r="J4" s="28"/>
      <c r="K4" s="28"/>
      <c r="L4" s="20"/>
      <c r="M4" s="20"/>
      <c r="N4" s="20"/>
      <c r="O4" s="20"/>
    </row>
    <row r="5" spans="1:15" x14ac:dyDescent="0.35">
      <c r="A5" s="20"/>
      <c r="B5" s="20"/>
      <c r="C5" s="25" t="s">
        <v>101</v>
      </c>
      <c r="D5" s="20" t="s">
        <v>7</v>
      </c>
      <c r="E5" s="20"/>
      <c r="F5" s="64"/>
      <c r="G5" s="64"/>
      <c r="H5" s="64"/>
      <c r="I5" s="52"/>
      <c r="J5" s="20"/>
      <c r="K5" s="20"/>
      <c r="L5" s="20"/>
      <c r="M5" s="20"/>
      <c r="N5" s="20"/>
      <c r="O5" s="20"/>
    </row>
    <row r="6" spans="1:15" ht="29" x14ac:dyDescent="0.35">
      <c r="A6" s="20"/>
      <c r="B6" s="20"/>
      <c r="C6" s="20"/>
      <c r="D6" s="26" t="s">
        <v>101</v>
      </c>
      <c r="E6" s="20"/>
      <c r="F6" s="64"/>
      <c r="G6" s="64"/>
      <c r="H6" s="64"/>
      <c r="I6" s="52"/>
      <c r="J6" s="20"/>
      <c r="K6" s="20"/>
      <c r="L6" s="20"/>
      <c r="M6" s="20"/>
      <c r="N6" s="20"/>
      <c r="O6" s="20"/>
    </row>
    <row r="7" spans="1:15" x14ac:dyDescent="0.35">
      <c r="A7" s="20"/>
      <c r="B7" s="20"/>
      <c r="C7" s="20"/>
      <c r="D7" s="20"/>
      <c r="E7" s="20"/>
      <c r="F7" s="65"/>
      <c r="G7" s="65"/>
      <c r="H7" s="65"/>
      <c r="I7" s="53"/>
      <c r="J7" s="20"/>
      <c r="K7" s="20"/>
      <c r="L7" s="20"/>
      <c r="M7" s="20"/>
      <c r="N7" s="20"/>
      <c r="O7" s="20"/>
    </row>
    <row r="8" spans="1:15" ht="43.5" x14ac:dyDescent="0.35">
      <c r="A8" s="39" t="s">
        <v>152</v>
      </c>
      <c r="B8" s="39" t="s">
        <v>152</v>
      </c>
      <c r="C8" s="39" t="s">
        <v>152</v>
      </c>
      <c r="D8" s="39" t="s">
        <v>152</v>
      </c>
      <c r="E8" s="39" t="s">
        <v>152</v>
      </c>
      <c r="F8" s="39" t="s">
        <v>152</v>
      </c>
      <c r="G8" s="39" t="s">
        <v>152</v>
      </c>
      <c r="H8" s="39" t="s">
        <v>152</v>
      </c>
      <c r="I8" s="39" t="s">
        <v>152</v>
      </c>
      <c r="J8" s="39" t="s">
        <v>152</v>
      </c>
      <c r="K8" s="39" t="s">
        <v>152</v>
      </c>
      <c r="L8" s="39" t="s">
        <v>152</v>
      </c>
      <c r="M8" s="39" t="s">
        <v>152</v>
      </c>
      <c r="N8" s="39" t="s">
        <v>152</v>
      </c>
      <c r="O8" s="39" t="s">
        <v>152</v>
      </c>
    </row>
    <row r="10" spans="1:15" x14ac:dyDescent="0.35">
      <c r="A10" t="s">
        <v>84</v>
      </c>
      <c r="B10" t="s">
        <v>85</v>
      </c>
    </row>
  </sheetData>
  <mergeCells count="3">
    <mergeCell ref="F4:F7"/>
    <mergeCell ref="G4:G7"/>
    <mergeCell ref="H4:H7"/>
  </mergeCells>
  <conditionalFormatting sqref="A1">
    <cfRule type="duplicateValues" dxfId="14" priority="3"/>
  </conditionalFormatting>
  <conditionalFormatting sqref="A1">
    <cfRule type="duplicateValues" dxfId="13" priority="2"/>
  </conditionalFormatting>
  <conditionalFormatting sqref="A1">
    <cfRule type="duplicateValues" dxfId="12" priority="1"/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30"/>
  <sheetViews>
    <sheetView workbookViewId="0">
      <pane ySplit="2" topLeftCell="A3" activePane="bottomLeft" state="frozen"/>
      <selection pane="bottomLeft" activeCell="B10" sqref="B10"/>
    </sheetView>
  </sheetViews>
  <sheetFormatPr defaultRowHeight="14.5" x14ac:dyDescent="0.35"/>
  <cols>
    <col min="2" max="2" width="11" customWidth="1"/>
    <col min="5" max="5" width="14" customWidth="1"/>
    <col min="6" max="6" width="9.36328125" customWidth="1"/>
    <col min="8" max="8" width="15.08984375" customWidth="1"/>
    <col min="9" max="9" width="21.90625" customWidth="1"/>
    <col min="10" max="10" width="9.81640625" customWidth="1"/>
    <col min="11" max="11" width="10" customWidth="1"/>
    <col min="12" max="12" width="10.26953125" customWidth="1"/>
  </cols>
  <sheetData>
    <row r="2" spans="1:18" ht="39" x14ac:dyDescent="0.35">
      <c r="A2" s="12" t="s">
        <v>72</v>
      </c>
      <c r="B2" s="12" t="s">
        <v>73</v>
      </c>
      <c r="C2" s="12" t="s">
        <v>105</v>
      </c>
      <c r="D2" s="41" t="s">
        <v>74</v>
      </c>
      <c r="E2" s="12" t="s">
        <v>92</v>
      </c>
      <c r="F2" s="30" t="s">
        <v>106</v>
      </c>
      <c r="G2" s="31" t="s">
        <v>107</v>
      </c>
      <c r="H2" s="30" t="s">
        <v>75</v>
      </c>
      <c r="I2" s="30" t="s">
        <v>108</v>
      </c>
      <c r="J2" s="30" t="s">
        <v>76</v>
      </c>
      <c r="K2" s="30" t="s">
        <v>109</v>
      </c>
      <c r="L2" s="30" t="s">
        <v>110</v>
      </c>
      <c r="M2" s="32" t="s">
        <v>111</v>
      </c>
      <c r="N2" s="30" t="s">
        <v>117</v>
      </c>
      <c r="O2" s="30" t="s">
        <v>222</v>
      </c>
      <c r="P2" s="30" t="s">
        <v>223</v>
      </c>
      <c r="Q2" s="32" t="s">
        <v>113</v>
      </c>
      <c r="R2" s="32" t="s">
        <v>112</v>
      </c>
    </row>
    <row r="3" spans="1:18" x14ac:dyDescent="0.35">
      <c r="A3" s="20"/>
      <c r="B3" s="20" t="s">
        <v>2</v>
      </c>
      <c r="C3" s="20"/>
      <c r="D3" s="57">
        <v>44958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x14ac:dyDescent="0.35">
      <c r="A4" s="20"/>
      <c r="B4" s="20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29" x14ac:dyDescent="0.35">
      <c r="A5" s="20"/>
      <c r="B5" s="23" t="s">
        <v>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x14ac:dyDescent="0.35">
      <c r="B6" s="58" t="s">
        <v>7</v>
      </c>
    </row>
    <row r="7" spans="1:18" ht="15.5" x14ac:dyDescent="0.35">
      <c r="A7" s="54" t="s">
        <v>176</v>
      </c>
      <c r="B7" s="55" t="s">
        <v>209</v>
      </c>
      <c r="C7" s="36" t="s">
        <v>210</v>
      </c>
      <c r="D7" s="36" t="s">
        <v>211</v>
      </c>
      <c r="E7" s="36" t="s">
        <v>212</v>
      </c>
      <c r="F7" s="36" t="s">
        <v>177</v>
      </c>
      <c r="G7" s="36" t="s">
        <v>178</v>
      </c>
      <c r="H7" s="36" t="s">
        <v>179</v>
      </c>
      <c r="I7" s="36" t="s">
        <v>180</v>
      </c>
      <c r="J7" s="36" t="s">
        <v>213</v>
      </c>
      <c r="K7" s="36" t="s">
        <v>181</v>
      </c>
      <c r="L7" s="36" t="s">
        <v>214</v>
      </c>
      <c r="M7" s="36" t="s">
        <v>215</v>
      </c>
      <c r="N7" s="36" t="s">
        <v>218</v>
      </c>
      <c r="O7" s="36" t="s">
        <v>221</v>
      </c>
      <c r="P7" s="36" t="s">
        <v>221</v>
      </c>
      <c r="Q7" s="36" t="s">
        <v>217</v>
      </c>
      <c r="R7" s="36" t="s">
        <v>216</v>
      </c>
    </row>
    <row r="8" spans="1:18" x14ac:dyDescent="0.35">
      <c r="B8" s="38"/>
    </row>
    <row r="9" spans="1:18" ht="29" x14ac:dyDescent="0.35">
      <c r="K9" s="15" t="s">
        <v>123</v>
      </c>
      <c r="M9" s="15" t="s">
        <v>124</v>
      </c>
      <c r="R9" s="15" t="s">
        <v>125</v>
      </c>
    </row>
    <row r="10" spans="1:18" x14ac:dyDescent="0.35">
      <c r="B10" t="s">
        <v>115</v>
      </c>
    </row>
    <row r="11" spans="1:18" x14ac:dyDescent="0.35">
      <c r="A11" s="22" t="s">
        <v>89</v>
      </c>
      <c r="B11" t="s">
        <v>114</v>
      </c>
    </row>
    <row r="12" spans="1:18" x14ac:dyDescent="0.35">
      <c r="A12" s="22" t="s">
        <v>90</v>
      </c>
      <c r="B12" t="s">
        <v>127</v>
      </c>
    </row>
    <row r="13" spans="1:18" x14ac:dyDescent="0.35">
      <c r="A13" s="22" t="s">
        <v>96</v>
      </c>
      <c r="B13" t="s">
        <v>116</v>
      </c>
    </row>
    <row r="14" spans="1:18" x14ac:dyDescent="0.35">
      <c r="A14" s="22" t="s">
        <v>118</v>
      </c>
      <c r="B14" t="s">
        <v>119</v>
      </c>
    </row>
    <row r="15" spans="1:18" x14ac:dyDescent="0.35">
      <c r="A15" s="40" t="s">
        <v>121</v>
      </c>
      <c r="B15" t="s">
        <v>122</v>
      </c>
    </row>
    <row r="16" spans="1:18" x14ac:dyDescent="0.35">
      <c r="A16" s="40" t="s">
        <v>128</v>
      </c>
      <c r="B16" t="s">
        <v>126</v>
      </c>
    </row>
    <row r="17" spans="1:2" x14ac:dyDescent="0.35">
      <c r="A17" s="22" t="s">
        <v>129</v>
      </c>
      <c r="B17" t="s">
        <v>130</v>
      </c>
    </row>
    <row r="18" spans="1:2" x14ac:dyDescent="0.35">
      <c r="A18" s="40" t="s">
        <v>131</v>
      </c>
      <c r="B18" t="s">
        <v>132</v>
      </c>
    </row>
    <row r="19" spans="1:2" x14ac:dyDescent="0.35">
      <c r="A19" s="22" t="s">
        <v>133</v>
      </c>
    </row>
    <row r="22" spans="1:2" x14ac:dyDescent="0.35">
      <c r="B22" t="s">
        <v>134</v>
      </c>
    </row>
    <row r="23" spans="1:2" x14ac:dyDescent="0.35">
      <c r="A23">
        <v>1</v>
      </c>
      <c r="B23" t="s">
        <v>158</v>
      </c>
    </row>
    <row r="24" spans="1:2" x14ac:dyDescent="0.35">
      <c r="A24">
        <f>+A23+1</f>
        <v>2</v>
      </c>
      <c r="B24" t="s">
        <v>159</v>
      </c>
    </row>
    <row r="25" spans="1:2" x14ac:dyDescent="0.35">
      <c r="A25">
        <f t="shared" ref="A25:A28" si="0">+A24+1</f>
        <v>3</v>
      </c>
      <c r="B25" t="s">
        <v>160</v>
      </c>
    </row>
    <row r="26" spans="1:2" x14ac:dyDescent="0.35">
      <c r="A26">
        <f t="shared" si="0"/>
        <v>4</v>
      </c>
      <c r="B26" t="s">
        <v>156</v>
      </c>
    </row>
    <row r="27" spans="1:2" x14ac:dyDescent="0.35">
      <c r="A27">
        <f t="shared" si="0"/>
        <v>5</v>
      </c>
      <c r="B27" t="s">
        <v>157</v>
      </c>
    </row>
    <row r="28" spans="1:2" x14ac:dyDescent="0.35">
      <c r="A28">
        <f t="shared" si="0"/>
        <v>6</v>
      </c>
      <c r="B28" t="s">
        <v>155</v>
      </c>
    </row>
    <row r="29" spans="1:2" x14ac:dyDescent="0.35">
      <c r="A29" s="34"/>
    </row>
    <row r="30" spans="1:2" x14ac:dyDescent="0.35">
      <c r="B30" t="s">
        <v>154</v>
      </c>
    </row>
  </sheetData>
  <conditionalFormatting sqref="A2">
    <cfRule type="duplicateValues" dxfId="11" priority="6"/>
  </conditionalFormatting>
  <conditionalFormatting sqref="A2">
    <cfRule type="duplicateValues" dxfId="10" priority="5"/>
  </conditionalFormatting>
  <conditionalFormatting sqref="A2">
    <cfRule type="duplicateValues" dxfId="9" priority="4"/>
  </conditionalFormatting>
  <conditionalFormatting sqref="A7">
    <cfRule type="duplicateValues" dxfId="8" priority="3"/>
  </conditionalFormatting>
  <conditionalFormatting sqref="A7">
    <cfRule type="duplicateValues" dxfId="7" priority="2"/>
  </conditionalFormatting>
  <conditionalFormatting sqref="A7">
    <cfRule type="duplicateValues" dxfId="6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39"/>
  <sheetViews>
    <sheetView workbookViewId="0">
      <pane ySplit="2" topLeftCell="A11" activePane="bottomLeft" state="frozen"/>
      <selection pane="bottomLeft" activeCell="A20" sqref="A20"/>
    </sheetView>
  </sheetViews>
  <sheetFormatPr defaultRowHeight="14.5" x14ac:dyDescent="0.35"/>
  <cols>
    <col min="1" max="1" width="11.1796875" customWidth="1"/>
    <col min="2" max="2" width="11" customWidth="1"/>
    <col min="4" max="4" width="9.36328125" customWidth="1"/>
    <col min="6" max="6" width="15.08984375" customWidth="1"/>
    <col min="7" max="7" width="21.90625" customWidth="1"/>
    <col min="8" max="8" width="10" customWidth="1"/>
  </cols>
  <sheetData>
    <row r="2" spans="1:12" ht="39" x14ac:dyDescent="0.35">
      <c r="A2" s="12" t="s">
        <v>72</v>
      </c>
      <c r="B2" s="13" t="s">
        <v>73</v>
      </c>
      <c r="C2" s="14" t="s">
        <v>74</v>
      </c>
      <c r="D2" s="30" t="s">
        <v>106</v>
      </c>
      <c r="E2" s="31" t="s">
        <v>107</v>
      </c>
      <c r="F2" s="30" t="s">
        <v>75</v>
      </c>
      <c r="G2" s="30" t="s">
        <v>108</v>
      </c>
      <c r="H2" s="30" t="s">
        <v>109</v>
      </c>
      <c r="I2" s="32" t="s">
        <v>111</v>
      </c>
      <c r="J2" s="30" t="s">
        <v>117</v>
      </c>
      <c r="K2" s="32" t="s">
        <v>113</v>
      </c>
      <c r="L2" s="32" t="s">
        <v>112</v>
      </c>
    </row>
    <row r="3" spans="1:12" x14ac:dyDescent="0.35">
      <c r="A3" s="66" t="s">
        <v>219</v>
      </c>
      <c r="B3" s="20" t="s">
        <v>2</v>
      </c>
      <c r="C3" s="33">
        <v>44958</v>
      </c>
    </row>
    <row r="4" spans="1:12" x14ac:dyDescent="0.35">
      <c r="A4" s="67"/>
      <c r="B4" s="20" t="s">
        <v>3</v>
      </c>
    </row>
    <row r="5" spans="1:12" ht="29" x14ac:dyDescent="0.35">
      <c r="A5" s="67"/>
      <c r="B5" s="23" t="s">
        <v>6</v>
      </c>
      <c r="C5" s="37" t="s">
        <v>149</v>
      </c>
      <c r="D5" s="37" t="s">
        <v>149</v>
      </c>
      <c r="E5" s="37" t="s">
        <v>149</v>
      </c>
      <c r="F5" s="37" t="s">
        <v>149</v>
      </c>
      <c r="G5" s="37" t="s">
        <v>149</v>
      </c>
      <c r="H5" s="37" t="s">
        <v>149</v>
      </c>
      <c r="I5" s="37" t="s">
        <v>149</v>
      </c>
      <c r="J5" s="37" t="s">
        <v>149</v>
      </c>
      <c r="K5" s="37" t="s">
        <v>149</v>
      </c>
      <c r="L5" s="37" t="s">
        <v>149</v>
      </c>
    </row>
    <row r="6" spans="1:12" x14ac:dyDescent="0.35">
      <c r="B6" s="20" t="s">
        <v>7</v>
      </c>
    </row>
    <row r="7" spans="1:12" ht="29" x14ac:dyDescent="0.35">
      <c r="B7" s="36" t="s">
        <v>149</v>
      </c>
      <c r="H7" s="15" t="s">
        <v>123</v>
      </c>
      <c r="I7" s="15" t="s">
        <v>124</v>
      </c>
      <c r="J7" t="s">
        <v>143</v>
      </c>
      <c r="L7" s="15" t="s">
        <v>125</v>
      </c>
    </row>
    <row r="8" spans="1:12" x14ac:dyDescent="0.35">
      <c r="B8" t="s">
        <v>115</v>
      </c>
      <c r="J8" t="s">
        <v>144</v>
      </c>
    </row>
    <row r="9" spans="1:12" x14ac:dyDescent="0.35">
      <c r="J9" t="s">
        <v>13</v>
      </c>
    </row>
    <row r="10" spans="1:12" x14ac:dyDescent="0.35">
      <c r="J10" t="s">
        <v>141</v>
      </c>
    </row>
    <row r="13" spans="1:12" x14ac:dyDescent="0.35">
      <c r="A13" s="22" t="s">
        <v>89</v>
      </c>
      <c r="B13" t="s">
        <v>137</v>
      </c>
    </row>
    <row r="14" spans="1:12" x14ac:dyDescent="0.35">
      <c r="A14" s="22" t="s">
        <v>90</v>
      </c>
      <c r="B14" t="s">
        <v>116</v>
      </c>
    </row>
    <row r="15" spans="1:12" x14ac:dyDescent="0.35">
      <c r="A15" s="40" t="s">
        <v>96</v>
      </c>
      <c r="B15" t="s">
        <v>161</v>
      </c>
    </row>
    <row r="16" spans="1:12" x14ac:dyDescent="0.35">
      <c r="A16" s="22" t="s">
        <v>118</v>
      </c>
      <c r="B16" t="s">
        <v>130</v>
      </c>
    </row>
    <row r="17" spans="1:3" x14ac:dyDescent="0.35">
      <c r="A17" s="22" t="s">
        <v>121</v>
      </c>
      <c r="B17" t="s">
        <v>148</v>
      </c>
    </row>
    <row r="18" spans="1:3" x14ac:dyDescent="0.35">
      <c r="A18" s="40" t="s">
        <v>128</v>
      </c>
      <c r="B18" t="s">
        <v>151</v>
      </c>
    </row>
    <row r="19" spans="1:3" x14ac:dyDescent="0.35">
      <c r="A19" s="40" t="s">
        <v>129</v>
      </c>
      <c r="B19" t="s">
        <v>150</v>
      </c>
    </row>
    <row r="20" spans="1:3" x14ac:dyDescent="0.35">
      <c r="A20" s="40" t="s">
        <v>131</v>
      </c>
      <c r="B20" t="s">
        <v>162</v>
      </c>
    </row>
    <row r="21" spans="1:3" x14ac:dyDescent="0.35">
      <c r="A21" s="22" t="s">
        <v>133</v>
      </c>
    </row>
    <row r="23" spans="1:3" ht="18.5" x14ac:dyDescent="0.45">
      <c r="B23" s="35" t="s">
        <v>134</v>
      </c>
    </row>
    <row r="24" spans="1:3" x14ac:dyDescent="0.35">
      <c r="A24">
        <v>1</v>
      </c>
      <c r="B24" t="s">
        <v>145</v>
      </c>
    </row>
    <row r="25" spans="1:3" x14ac:dyDescent="0.35">
      <c r="A25">
        <f>+A24+1</f>
        <v>2</v>
      </c>
      <c r="B25" t="s">
        <v>135</v>
      </c>
    </row>
    <row r="26" spans="1:3" x14ac:dyDescent="0.35">
      <c r="A26">
        <f t="shared" ref="A26:A30" si="0">+A25+1</f>
        <v>3</v>
      </c>
      <c r="B26" t="s">
        <v>138</v>
      </c>
    </row>
    <row r="27" spans="1:3" x14ac:dyDescent="0.35">
      <c r="A27">
        <f t="shared" si="0"/>
        <v>4</v>
      </c>
      <c r="B27" t="s">
        <v>161</v>
      </c>
    </row>
    <row r="28" spans="1:3" x14ac:dyDescent="0.35">
      <c r="A28">
        <f t="shared" si="0"/>
        <v>5</v>
      </c>
      <c r="B28" t="s">
        <v>139</v>
      </c>
    </row>
    <row r="29" spans="1:3" x14ac:dyDescent="0.35">
      <c r="A29">
        <f t="shared" si="0"/>
        <v>6</v>
      </c>
      <c r="B29" t="s">
        <v>142</v>
      </c>
    </row>
    <row r="30" spans="1:3" x14ac:dyDescent="0.35">
      <c r="A30">
        <f t="shared" si="0"/>
        <v>7</v>
      </c>
      <c r="B30" t="s">
        <v>146</v>
      </c>
    </row>
    <row r="31" spans="1:3" x14ac:dyDescent="0.35">
      <c r="B31" t="s">
        <v>147</v>
      </c>
      <c r="C31" s="1">
        <v>1</v>
      </c>
    </row>
    <row r="32" spans="1:3" x14ac:dyDescent="0.35">
      <c r="B32" t="s">
        <v>147</v>
      </c>
      <c r="C32" s="1">
        <v>2</v>
      </c>
    </row>
    <row r="33" spans="1:3" x14ac:dyDescent="0.35">
      <c r="B33" t="s">
        <v>147</v>
      </c>
      <c r="C33" s="1">
        <v>3</v>
      </c>
    </row>
    <row r="34" spans="1:3" x14ac:dyDescent="0.35">
      <c r="B34" t="s">
        <v>147</v>
      </c>
      <c r="C34" s="1">
        <v>4</v>
      </c>
    </row>
    <row r="35" spans="1:3" x14ac:dyDescent="0.35">
      <c r="B35" t="s">
        <v>147</v>
      </c>
      <c r="C35" s="1">
        <v>5</v>
      </c>
    </row>
    <row r="36" spans="1:3" x14ac:dyDescent="0.35">
      <c r="B36" t="s">
        <v>147</v>
      </c>
      <c r="C36" s="1">
        <v>6</v>
      </c>
    </row>
    <row r="37" spans="1:3" x14ac:dyDescent="0.35">
      <c r="A37">
        <f>+A30+1</f>
        <v>8</v>
      </c>
      <c r="B37" t="s">
        <v>150</v>
      </c>
    </row>
    <row r="38" spans="1:3" x14ac:dyDescent="0.35">
      <c r="A38">
        <f t="shared" ref="A38:A39" si="1">+A37+1</f>
        <v>9</v>
      </c>
      <c r="B38" t="s">
        <v>151</v>
      </c>
    </row>
    <row r="39" spans="1:3" x14ac:dyDescent="0.35">
      <c r="A39">
        <f t="shared" si="1"/>
        <v>10</v>
      </c>
      <c r="B39" t="s">
        <v>162</v>
      </c>
    </row>
  </sheetData>
  <mergeCells count="1">
    <mergeCell ref="A3:A5"/>
  </mergeCells>
  <conditionalFormatting sqref="A2">
    <cfRule type="duplicateValues" dxfId="5" priority="3"/>
  </conditionalFormatting>
  <conditionalFormatting sqref="A2">
    <cfRule type="duplicateValues" dxfId="4" priority="2"/>
  </conditionalFormatting>
  <conditionalFormatting sqref="A2">
    <cfRule type="duplicateValues" dxfId="3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6"/>
  <sheetViews>
    <sheetView workbookViewId="0">
      <pane ySplit="3" topLeftCell="A19" activePane="bottomLeft" state="frozen"/>
      <selection pane="bottomLeft" activeCell="A33" sqref="A33"/>
    </sheetView>
  </sheetViews>
  <sheetFormatPr defaultRowHeight="14.5" x14ac:dyDescent="0.35"/>
  <cols>
    <col min="1" max="1" width="11.1796875" customWidth="1"/>
    <col min="2" max="3" width="9.36328125" customWidth="1"/>
    <col min="5" max="5" width="15.08984375" customWidth="1"/>
    <col min="6" max="6" width="21.90625" customWidth="1"/>
    <col min="7" max="7" width="10" customWidth="1"/>
  </cols>
  <sheetData>
    <row r="1" spans="1:17" ht="21" x14ac:dyDescent="0.5">
      <c r="A1" s="50" t="s">
        <v>202</v>
      </c>
    </row>
    <row r="3" spans="1:17" ht="78" x14ac:dyDescent="0.35">
      <c r="A3" s="12" t="s">
        <v>72</v>
      </c>
      <c r="B3" s="30" t="s">
        <v>106</v>
      </c>
      <c r="C3" s="41" t="s">
        <v>74</v>
      </c>
      <c r="D3" s="31" t="s">
        <v>107</v>
      </c>
      <c r="E3" s="30" t="s">
        <v>75</v>
      </c>
      <c r="F3" s="30" t="s">
        <v>108</v>
      </c>
      <c r="G3" s="30" t="s">
        <v>109</v>
      </c>
      <c r="H3" s="45" t="s">
        <v>182</v>
      </c>
      <c r="I3" s="31" t="s">
        <v>164</v>
      </c>
      <c r="J3" s="31" t="s">
        <v>165</v>
      </c>
      <c r="K3" s="46" t="s">
        <v>194</v>
      </c>
      <c r="L3" s="46" t="s">
        <v>195</v>
      </c>
      <c r="M3" s="45" t="s">
        <v>168</v>
      </c>
      <c r="N3" s="46" t="s">
        <v>169</v>
      </c>
      <c r="O3" s="46" t="s">
        <v>170</v>
      </c>
      <c r="P3" s="46" t="s">
        <v>174</v>
      </c>
      <c r="Q3" s="30" t="s">
        <v>192</v>
      </c>
    </row>
    <row r="4" spans="1:17" ht="15.5" x14ac:dyDescent="0.35">
      <c r="A4" s="16"/>
      <c r="B4" s="42"/>
      <c r="C4" s="42"/>
      <c r="D4" s="43"/>
      <c r="E4" s="42"/>
      <c r="F4" s="42"/>
      <c r="G4" s="42"/>
      <c r="H4" s="42">
        <v>60</v>
      </c>
      <c r="I4" s="44" t="s">
        <v>183</v>
      </c>
      <c r="J4" s="47">
        <v>45057</v>
      </c>
      <c r="K4" s="47"/>
      <c r="L4" s="47"/>
      <c r="M4" s="48" t="e">
        <f>+J4-I4</f>
        <v>#VALUE!</v>
      </c>
      <c r="N4" s="20"/>
      <c r="O4" s="20"/>
      <c r="P4" s="20"/>
    </row>
    <row r="5" spans="1:17" ht="15.5" x14ac:dyDescent="0.35">
      <c r="A5" s="16"/>
      <c r="B5" s="42"/>
      <c r="C5" s="42"/>
      <c r="D5" s="43"/>
      <c r="E5" s="42"/>
      <c r="F5" s="42"/>
      <c r="G5" s="42"/>
      <c r="H5" s="42"/>
      <c r="I5" s="44"/>
      <c r="J5" s="44"/>
      <c r="K5" s="44"/>
      <c r="L5" s="44"/>
      <c r="M5" s="20"/>
      <c r="N5" s="20"/>
      <c r="O5" s="20"/>
      <c r="P5" s="20"/>
      <c r="Q5" s="20"/>
    </row>
    <row r="6" spans="1:17" ht="15.5" x14ac:dyDescent="0.35">
      <c r="A6" s="16"/>
      <c r="B6" s="42"/>
      <c r="C6" s="42"/>
      <c r="D6" s="43"/>
      <c r="E6" s="42"/>
      <c r="F6" s="42"/>
      <c r="G6" s="42"/>
      <c r="H6" s="42"/>
      <c r="I6" s="44"/>
      <c r="J6" s="44"/>
      <c r="K6" s="44"/>
      <c r="L6" s="44"/>
      <c r="M6" s="20"/>
      <c r="N6" s="20"/>
      <c r="O6" s="20"/>
      <c r="P6" s="20"/>
      <c r="Q6" s="20"/>
    </row>
    <row r="7" spans="1:17" ht="15.5" x14ac:dyDescent="0.35">
      <c r="A7" s="16"/>
      <c r="B7" s="42"/>
      <c r="C7" s="42"/>
      <c r="D7" s="43"/>
      <c r="E7" s="42"/>
      <c r="F7" s="42"/>
      <c r="G7" s="42"/>
      <c r="H7" s="42"/>
      <c r="I7" s="44"/>
      <c r="J7" s="44"/>
      <c r="K7" s="44"/>
      <c r="L7" s="44"/>
      <c r="M7" s="20"/>
      <c r="N7" s="20"/>
      <c r="O7" s="20"/>
      <c r="P7" s="20"/>
      <c r="Q7" s="20"/>
    </row>
    <row r="8" spans="1:17" ht="15.5" x14ac:dyDescent="0.35">
      <c r="A8" s="54" t="s">
        <v>176</v>
      </c>
      <c r="B8" s="55" t="s">
        <v>177</v>
      </c>
      <c r="C8" s="36" t="s">
        <v>211</v>
      </c>
      <c r="D8" s="56" t="s">
        <v>178</v>
      </c>
      <c r="E8" s="55" t="s">
        <v>179</v>
      </c>
      <c r="F8" s="55" t="s">
        <v>180</v>
      </c>
      <c r="G8" s="55" t="s">
        <v>181</v>
      </c>
      <c r="H8" s="55" t="s">
        <v>163</v>
      </c>
      <c r="I8" s="55" t="s">
        <v>167</v>
      </c>
      <c r="J8" s="55" t="s">
        <v>166</v>
      </c>
      <c r="K8" s="55" t="s">
        <v>196</v>
      </c>
      <c r="L8" s="55" t="s">
        <v>197</v>
      </c>
      <c r="M8" s="55" t="s">
        <v>171</v>
      </c>
      <c r="N8" s="55" t="s">
        <v>172</v>
      </c>
      <c r="O8" s="55" t="s">
        <v>173</v>
      </c>
      <c r="P8" s="55" t="s">
        <v>175</v>
      </c>
      <c r="Q8" s="55" t="s">
        <v>191</v>
      </c>
    </row>
    <row r="9" spans="1:17" x14ac:dyDescent="0.35">
      <c r="A9" t="s">
        <v>220</v>
      </c>
      <c r="B9" t="s">
        <v>220</v>
      </c>
      <c r="C9" t="s">
        <v>220</v>
      </c>
      <c r="K9" t="s">
        <v>220</v>
      </c>
      <c r="L9" t="s">
        <v>220</v>
      </c>
      <c r="M9" t="s">
        <v>220</v>
      </c>
      <c r="N9" t="s">
        <v>220</v>
      </c>
      <c r="O9" t="s">
        <v>220</v>
      </c>
      <c r="P9" t="s">
        <v>220</v>
      </c>
      <c r="Q9" t="s">
        <v>220</v>
      </c>
    </row>
    <row r="10" spans="1:17" x14ac:dyDescent="0.35">
      <c r="G10" s="15"/>
      <c r="J10" s="15"/>
      <c r="K10" s="15"/>
      <c r="L10" s="15"/>
    </row>
    <row r="11" spans="1:17" x14ac:dyDescent="0.35">
      <c r="A11" s="40" t="s">
        <v>89</v>
      </c>
      <c r="B11" t="s">
        <v>201</v>
      </c>
    </row>
    <row r="12" spans="1:17" x14ac:dyDescent="0.35">
      <c r="A12" s="40" t="s">
        <v>90</v>
      </c>
      <c r="B12" t="s">
        <v>184</v>
      </c>
    </row>
    <row r="13" spans="1:17" x14ac:dyDescent="0.35">
      <c r="A13" s="40" t="s">
        <v>96</v>
      </c>
      <c r="B13" t="s">
        <v>187</v>
      </c>
    </row>
    <row r="14" spans="1:17" x14ac:dyDescent="0.35">
      <c r="A14" s="40" t="s">
        <v>118</v>
      </c>
      <c r="B14" t="s">
        <v>186</v>
      </c>
    </row>
    <row r="15" spans="1:17" x14ac:dyDescent="0.35">
      <c r="A15" s="40" t="s">
        <v>121</v>
      </c>
      <c r="B15" t="s">
        <v>203</v>
      </c>
    </row>
    <row r="16" spans="1:17" x14ac:dyDescent="0.35">
      <c r="A16" s="40" t="s">
        <v>128</v>
      </c>
      <c r="B16" t="s">
        <v>204</v>
      </c>
    </row>
    <row r="17" spans="1:2" x14ac:dyDescent="0.35">
      <c r="A17" s="40" t="s">
        <v>129</v>
      </c>
      <c r="B17" t="s">
        <v>205</v>
      </c>
    </row>
    <row r="18" spans="1:2" x14ac:dyDescent="0.35">
      <c r="A18" s="49" t="s">
        <v>131</v>
      </c>
      <c r="B18" t="s">
        <v>206</v>
      </c>
    </row>
    <row r="19" spans="1:2" x14ac:dyDescent="0.35">
      <c r="A19" s="40" t="s">
        <v>133</v>
      </c>
      <c r="B19" t="s">
        <v>207</v>
      </c>
    </row>
    <row r="20" spans="1:2" x14ac:dyDescent="0.35">
      <c r="A20" s="49" t="s">
        <v>200</v>
      </c>
      <c r="B20" t="s">
        <v>208</v>
      </c>
    </row>
    <row r="24" spans="1:2" x14ac:dyDescent="0.35">
      <c r="B24" t="s">
        <v>185</v>
      </c>
    </row>
    <row r="25" spans="1:2" x14ac:dyDescent="0.35">
      <c r="A25" s="40" t="s">
        <v>89</v>
      </c>
      <c r="B25" t="s">
        <v>184</v>
      </c>
    </row>
    <row r="26" spans="1:2" x14ac:dyDescent="0.35">
      <c r="A26" s="40" t="s">
        <v>90</v>
      </c>
      <c r="B26" t="s">
        <v>187</v>
      </c>
    </row>
    <row r="27" spans="1:2" x14ac:dyDescent="0.35">
      <c r="A27" s="40" t="s">
        <v>96</v>
      </c>
      <c r="B27" t="s">
        <v>186</v>
      </c>
    </row>
    <row r="28" spans="1:2" x14ac:dyDescent="0.35">
      <c r="A28" s="40" t="s">
        <v>118</v>
      </c>
      <c r="B28" t="s">
        <v>188</v>
      </c>
    </row>
    <row r="29" spans="1:2" x14ac:dyDescent="0.35">
      <c r="A29" s="40" t="s">
        <v>121</v>
      </c>
      <c r="B29" t="s">
        <v>198</v>
      </c>
    </row>
    <row r="30" spans="1:2" x14ac:dyDescent="0.35">
      <c r="A30" s="40" t="s">
        <v>128</v>
      </c>
      <c r="B30" t="s">
        <v>199</v>
      </c>
    </row>
    <row r="31" spans="1:2" x14ac:dyDescent="0.35">
      <c r="A31" s="40" t="s">
        <v>129</v>
      </c>
      <c r="B31" t="s">
        <v>190</v>
      </c>
    </row>
    <row r="32" spans="1:2" x14ac:dyDescent="0.35">
      <c r="A32" s="40" t="s">
        <v>131</v>
      </c>
      <c r="B32" t="s">
        <v>189</v>
      </c>
    </row>
    <row r="33" spans="1:2" x14ac:dyDescent="0.35">
      <c r="A33" s="40" t="s">
        <v>133</v>
      </c>
      <c r="B33" t="s">
        <v>193</v>
      </c>
    </row>
    <row r="34" spans="1:2" x14ac:dyDescent="0.35">
      <c r="A34" s="34"/>
    </row>
    <row r="44" spans="1:2" x14ac:dyDescent="0.35">
      <c r="A44" s="34"/>
    </row>
    <row r="45" spans="1:2" x14ac:dyDescent="0.35">
      <c r="A45" s="34"/>
    </row>
    <row r="46" spans="1:2" x14ac:dyDescent="0.35">
      <c r="A46" s="34"/>
    </row>
  </sheetData>
  <conditionalFormatting sqref="A3:A8">
    <cfRule type="duplicateValues" dxfId="2" priority="3"/>
  </conditionalFormatting>
  <conditionalFormatting sqref="A3:A8">
    <cfRule type="duplicateValues" dxfId="1" priority="2"/>
  </conditionalFormatting>
  <conditionalFormatting sqref="A3:A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SUPPLIERS</vt:lpstr>
      <vt:lpstr>Supplier Data Entry form  (1)</vt:lpstr>
      <vt:lpstr>Supplier Master Sheet</vt:lpstr>
      <vt:lpstr>PURCHASE ORDER FORMAT</vt:lpstr>
      <vt:lpstr>Supplier Data Entry form (2)</vt:lpstr>
      <vt:lpstr>SUPPLIER PURCHASE HISTORY</vt:lpstr>
      <vt:lpstr>SUPPLIER PAYMENT HISTORY </vt:lpstr>
      <vt:lpstr>SUPPLIER OPERATIONAL HISTORY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Moazzam</cp:lastModifiedBy>
  <cp:lastPrinted>2026-08-12T10:52:34Z</cp:lastPrinted>
  <dcterms:created xsi:type="dcterms:W3CDTF">2023-06-15T07:31:42Z</dcterms:created>
  <dcterms:modified xsi:type="dcterms:W3CDTF">2026-08-13T19:20:48Z</dcterms:modified>
</cp:coreProperties>
</file>